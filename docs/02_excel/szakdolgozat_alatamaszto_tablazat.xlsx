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ztaliPC\OneDrive\Asztali gép\SZAKDOLGOZAT_MINTA\szakdolgozat_hallgatoi_csomag\02_excel_sablonok\"/>
    </mc:Choice>
  </mc:AlternateContent>
  <xr:revisionPtr revIDLastSave="0" documentId="13_ncr:1_{BFF009DB-3CE0-459A-8912-021857D07724}" xr6:coauthVersionLast="47" xr6:coauthVersionMax="47" xr10:uidLastSave="{00000000-0000-0000-0000-000000000000}"/>
  <bookViews>
    <workbookView xWindow="-120" yWindow="-120" windowWidth="29040" windowHeight="15990" firstSheet="5" activeTab="9" xr2:uid="{00000000-000D-0000-FFFF-FFFF00000000}"/>
  </bookViews>
  <sheets>
    <sheet name="00_Attekintes" sheetId="1" r:id="rId1"/>
    <sheet name="01_MVP" sheetId="2" r:id="rId2"/>
    <sheet name="02_Piaci_elemzes" sheetId="3" r:id="rId3"/>
    <sheet name="03_Kovetelmenyek" sheetId="4" r:id="rId4"/>
    <sheet name="04_UseCase" sheetId="5" r:id="rId5"/>
    <sheet name="05_UX_kepernyok" sheetId="6" r:id="rId6"/>
    <sheet name="06_ADR" sheetId="7" r:id="rId7"/>
    <sheet name="07_Adatmodell_API" sheetId="8" r:id="rId8"/>
    <sheet name="08_Biztonsag" sheetId="9" r:id="rId9"/>
    <sheet name="09_Tesztek" sheetId="10" r:id="rId10"/>
    <sheet name="10_Traceability" sheetId="11" r:id="rId11"/>
    <sheet name="11_MI_naplo" sheetId="12" r:id="rId12"/>
    <sheet name="12_Reprodukcio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</calcChain>
</file>

<file path=xl/sharedStrings.xml><?xml version="1.0" encoding="utf-8"?>
<sst xmlns="http://schemas.openxmlformats.org/spreadsheetml/2006/main" count="872" uniqueCount="632">
  <si>
    <t>Szakdolgozati alátámasztó táblázatsablonok</t>
  </si>
  <si>
    <t>A fő dolgozatba a lényeg kerüljön, a részletek ezekben a táblázatokban gyűjthetők. A táblázatokból csak a fontos következtetés, döntés és bizonyíték kerüljön be a 40–50 oldalas szakdolgozatba.</t>
  </si>
  <si>
    <t>Mutató</t>
  </si>
  <si>
    <t>Képlet / tartalom</t>
  </si>
  <si>
    <t>Érték</t>
  </si>
  <si>
    <t>Értelmezés</t>
  </si>
  <si>
    <t>Must követelmények száma</t>
  </si>
  <si>
    <t>03_Kovetelmenyek!C:C = Must</t>
  </si>
  <si>
    <t>A kritikus követelmények száma.</t>
  </si>
  <si>
    <t>Sikeres tesztek száma</t>
  </si>
  <si>
    <t>09_Tesztek!H:H = sikeres</t>
  </si>
  <si>
    <t>A bizonyított tesztek száma.</t>
  </si>
  <si>
    <t>Javítandó biztonsági tételek</t>
  </si>
  <si>
    <t>08_Biztonsag!D:D = javítandó</t>
  </si>
  <si>
    <t>Beadás előtt 0 legyen.</t>
  </si>
  <si>
    <t>MI naplózott használatok</t>
  </si>
  <si>
    <t>11_MI_naplo!B:B nem üres</t>
  </si>
  <si>
    <t>Átláthatósági bizonyíték.</t>
  </si>
  <si>
    <t>MVP brief és termékhatár</t>
  </si>
  <si>
    <t>Itt határozd meg, mi tartozik az MVP-be, mi nem, és miért. A cél: tudatos scope, nem funkcióhalmozás.</t>
  </si>
  <si>
    <t>Elem</t>
  </si>
  <si>
    <t>Felhasználói érték</t>
  </si>
  <si>
    <t>Prioritás</t>
  </si>
  <si>
    <t>MVP döntés</t>
  </si>
  <si>
    <t>Indoklás</t>
  </si>
  <si>
    <t>Elfogadási jel</t>
  </si>
  <si>
    <t>Kapcsolódó követelmény</t>
  </si>
  <si>
    <t>Must</t>
  </si>
  <si>
    <t>benne van</t>
  </si>
  <si>
    <t>FK-01</t>
  </si>
  <si>
    <t>FK-02</t>
  </si>
  <si>
    <t>Should</t>
  </si>
  <si>
    <t>prototípus</t>
  </si>
  <si>
    <t>FK-AI-01</t>
  </si>
  <si>
    <t>Piaci / területi elemzés</t>
  </si>
  <si>
    <t>Használj 3–5 releváns alternatívát. A táblázat végén legyen konklúzió: mit tanultál, mit veszel át, mit kerülsz el.</t>
  </si>
  <si>
    <t>Megoldás</t>
  </si>
  <si>
    <t>Célcsoport</t>
  </si>
  <si>
    <t>Fő funkciók</t>
  </si>
  <si>
    <t>Erősségek</t>
  </si>
  <si>
    <t>Hiányosságok</t>
  </si>
  <si>
    <t>UX tanulság</t>
  </si>
  <si>
    <t>Technológiai/biztonsági tanulság</t>
  </si>
  <si>
    <t>Saját rendszerre következtetés</t>
  </si>
  <si>
    <t>Forrás URL</t>
  </si>
  <si>
    <t>Funkcionális és nem funkcionális követelmények</t>
  </si>
  <si>
    <t>Minden követelmény legyen azonosított, priorizált és tesztelhető. A célérték nélküli NFK nem bizonyítható.</t>
  </si>
  <si>
    <t>ID</t>
  </si>
  <si>
    <t>Típus</t>
  </si>
  <si>
    <t>Követelmény</t>
  </si>
  <si>
    <t>Felhasználói/üzleti érték</t>
  </si>
  <si>
    <t>Elfogadási kritérium</t>
  </si>
  <si>
    <t>Kapcsolódó use case</t>
  </si>
  <si>
    <t>Kapcsolódó képernyő</t>
  </si>
  <si>
    <t>Teszt ID</t>
  </si>
  <si>
    <t>Állapot</t>
  </si>
  <si>
    <t>funkcionális</t>
  </si>
  <si>
    <t>saját funkciók elérése</t>
  </si>
  <si>
    <t>UC-01</t>
  </si>
  <si>
    <t>SCR-LOGIN</t>
  </si>
  <si>
    <t>TC-01; TC-02</t>
  </si>
  <si>
    <t>kész</t>
  </si>
  <si>
    <t>UC-03</t>
  </si>
  <si>
    <t>TC-03</t>
  </si>
  <si>
    <t>NFK-01</t>
  </si>
  <si>
    <t>nem funkcionális</t>
  </si>
  <si>
    <t>UC-02</t>
  </si>
  <si>
    <t>TC-PERF-01</t>
  </si>
  <si>
    <t>folyamatban</t>
  </si>
  <si>
    <t>Use case lista és részletes lapok</t>
  </si>
  <si>
    <t>A kritikus use case-ekhez részletes leírás kell: aktor, előfeltétel, fő lefutás, alternatívák, utófeltétel, tesztek.</t>
  </si>
  <si>
    <t>Név</t>
  </si>
  <si>
    <t>Aktor</t>
  </si>
  <si>
    <t>Cél</t>
  </si>
  <si>
    <t>Előfeltétel</t>
  </si>
  <si>
    <t>Fő sikeres lefutás</t>
  </si>
  <si>
    <t>Alternatívák</t>
  </si>
  <si>
    <t>Utófeltétel</t>
  </si>
  <si>
    <t>Kapcsolódó követelmények</t>
  </si>
  <si>
    <t>Felhasználó bejelentkezése</t>
  </si>
  <si>
    <t>Vendég</t>
  </si>
  <si>
    <t>létező fiók</t>
  </si>
  <si>
    <t>UX képernyőspecifikáció</t>
  </si>
  <si>
    <t>Minden fontos képernyőhöz írd le a célt, állapotokat, hibaüzeneteket, kapcsolódó use case-eket és akadálymentességi szempontokat.</t>
  </si>
  <si>
    <t>Képernyő ID</t>
  </si>
  <si>
    <t>Fő elemek</t>
  </si>
  <si>
    <t>Állapotok</t>
  </si>
  <si>
    <t>Hibák/üzenetek</t>
  </si>
  <si>
    <t>UX elv</t>
  </si>
  <si>
    <t>Akadálymentesség</t>
  </si>
  <si>
    <t>Megjegyzés</t>
  </si>
  <si>
    <t>üres, invalid, loading, sikeres</t>
  </si>
  <si>
    <t>Architektúra döntési napló (ADR)</t>
  </si>
  <si>
    <t>Minden jelentős döntést alternatívákkal, szempontokkal, választással, indoklással és kockázattal dokumentálj.</t>
  </si>
  <si>
    <t>ADR ID</t>
  </si>
  <si>
    <t>Döntési pont</t>
  </si>
  <si>
    <t>Kontextus</t>
  </si>
  <si>
    <t>Értékelési szempontok</t>
  </si>
  <si>
    <t>Választás</t>
  </si>
  <si>
    <t>Kockázat</t>
  </si>
  <si>
    <t>Validáció</t>
  </si>
  <si>
    <t>ADR-001</t>
  </si>
  <si>
    <t>Frontend keretrendszer</t>
  </si>
  <si>
    <t>ADR-002</t>
  </si>
  <si>
    <t>Hitelesítés</t>
  </si>
  <si>
    <t>Adatmodell, modulok és API</t>
  </si>
  <si>
    <t>Entitás, modul és API szinten is legyen világos, mi miért létezik, ki fér hozzá és hogyan tesztelhető.</t>
  </si>
  <si>
    <t>Felelősség</t>
  </si>
  <si>
    <t>Mezők / interfész</t>
  </si>
  <si>
    <t>Kapcsolatok / függőségek</t>
  </si>
  <si>
    <t>Jogosultság</t>
  </si>
  <si>
    <t>Teszt</t>
  </si>
  <si>
    <t>Entitás</t>
  </si>
  <si>
    <t>saját adat módosítható</t>
  </si>
  <si>
    <t>API</t>
  </si>
  <si>
    <t>publikus</t>
  </si>
  <si>
    <t>TC-01</t>
  </si>
  <si>
    <t>Modul</t>
  </si>
  <si>
    <t>Biztonsági minimum ellenőrzőlista</t>
  </si>
  <si>
    <t>Beadás előtt a kritikus sorok ne maradjanak javítandó állapotban. A bizonyíték lehet kódrészlet, konfiguráció, teszt vagy review jegyzet.</t>
  </si>
  <si>
    <t>Terület</t>
  </si>
  <si>
    <t>Ellenőrzés</t>
  </si>
  <si>
    <t>Bizonyíték</t>
  </si>
  <si>
    <t>Eredmény</t>
  </si>
  <si>
    <t>Megjegyzés / javítás</t>
  </si>
  <si>
    <t>XSS</t>
  </si>
  <si>
    <t>OK</t>
  </si>
  <si>
    <t>Credential</t>
  </si>
  <si>
    <t>Tesztterv és tesztesetek</t>
  </si>
  <si>
    <t>A tesztek igazolják a követelményeket. Minden teszthez legyen előfeltétel, lépés, várt eredmény és tény eredmény.</t>
  </si>
  <si>
    <t>Lépések</t>
  </si>
  <si>
    <t>Várt eredmény</t>
  </si>
  <si>
    <t>létező user</t>
  </si>
  <si>
    <t>sikeres</t>
  </si>
  <si>
    <t>TC-02</t>
  </si>
  <si>
    <t>TC-SEC-01</t>
  </si>
  <si>
    <t>biztonsági</t>
  </si>
  <si>
    <t>Követelmény – use case – képernyő – teszt nyomonkövetés</t>
  </si>
  <si>
    <t>A traceability mátrix mutatja meg, hogy nincs árva követelmény, árva use case vagy bizonyítatlan funkció.</t>
  </si>
  <si>
    <t>Követelmény ID</t>
  </si>
  <si>
    <t>Use case ID</t>
  </si>
  <si>
    <t>ADR / döntés</t>
  </si>
  <si>
    <t>Kódrészlet / modul</t>
  </si>
  <si>
    <t>Bizonyíték státusz</t>
  </si>
  <si>
    <t>ADR-003</t>
  </si>
  <si>
    <t>lefedett</t>
  </si>
  <si>
    <t>MI-használati napló</t>
  </si>
  <si>
    <t>Dokumentáld, hol és mire használtál MI-t. A dolgozatba rövid nyilatkozat kerül, a részletes napló itt marad.</t>
  </si>
  <si>
    <t>Dátum</t>
  </si>
  <si>
    <t>Eszköz / modell</t>
  </si>
  <si>
    <t>Feladat</t>
  </si>
  <si>
    <t>Prompt rövid leírása</t>
  </si>
  <si>
    <t>Kapott eredmény</t>
  </si>
  <si>
    <t>Ellenőrzés módja</t>
  </si>
  <si>
    <t>Beépült?</t>
  </si>
  <si>
    <t>Saját módosítás</t>
  </si>
  <si>
    <t>Reprodukálhatósági ellenőrzés</t>
  </si>
  <si>
    <t>A bíráló/témavezető a README alapján tiszta környezetben tudja futtatni a rendszert. A valós titkok nem kerülnek a repóba.</t>
  </si>
  <si>
    <t>Elvárt tartalom</t>
  </si>
  <si>
    <t>Bizonyíték / link</t>
  </si>
  <si>
    <t>README</t>
  </si>
  <si>
    <t>telepítés, futtatás, teszt, demo adatok</t>
  </si>
  <si>
    <t>README.md</t>
  </si>
  <si>
    <t>.env.example</t>
  </si>
  <si>
    <t>minden szükséges változó, valós titok nélkül</t>
  </si>
  <si>
    <t>Demo adat</t>
  </si>
  <si>
    <t>import vagy seed leírás</t>
  </si>
  <si>
    <t>Tesztek</t>
  </si>
  <si>
    <t>Regisztráció és Belépés</t>
  </si>
  <si>
    <t>Bővített Profilkezelés</t>
  </si>
  <si>
    <t>Edző-Kliens összekapcsolás</t>
  </si>
  <si>
    <t>Kliens napi naplózás</t>
  </si>
  <si>
    <t>Heti edzéstervek</t>
  </si>
  <si>
    <t>Dinamikus MI Dashboard</t>
  </si>
  <si>
    <t>Gamifikáció (Boost)</t>
  </si>
  <si>
    <t>Edzői értékelés</t>
  </si>
  <si>
    <t>Fizetői integráció</t>
  </si>
  <si>
    <t>Biztonságos fiókkezelés és szerepkör (Edző/Kliens) alapú hozzáférés.</t>
  </si>
  <si>
    <t>Kliensek egyszerű és biztonságos hozzárendelése az edzőkhöz.</t>
  </si>
  <si>
    <t>Személyre szabott élmény, fizikai paraméterek és bemutatkozás tárolása.</t>
  </si>
  <si>
    <t>Kliens fejlődésének, alvásának, stressz-szintjének nyomon követése.</t>
  </si>
  <si>
    <t>Strukturált, nehézségi szinttel ellátott edzésmunkát biztosít a kliensnek.</t>
  </si>
  <si>
    <t>Automatikus adatfeldolgozás, prediktív elemzés, időmegtakarítás az edzőnek.</t>
  </si>
  <si>
    <t>MI Chat Asszisztens</t>
  </si>
  <si>
    <t>Azonnali szakmai segítség az edzőnek, és motiváció a kliensnek.</t>
  </si>
  <si>
    <t>Kliens motivációjának fenntartása egyetlen gombnyomással.</t>
  </si>
  <si>
    <t>Minőségbiztosítás és megbízhatósági visszajelzés az edzők munkájáról.</t>
  </si>
  <si>
    <t>Előfizetések kezelése a platformon belül.</t>
  </si>
  <si>
    <t>Could</t>
  </si>
  <si>
    <t>Won't</t>
  </si>
  <si>
    <t>későbbi bővítés</t>
  </si>
  <si>
    <t>Alapvető biztonsági és jogosultsági feltétel az adatvédelem miatt (JWT).</t>
  </si>
  <si>
    <t>A személyre szabott edzéstervekhez és a precíz MI elemzésekhez elengedhetetlen.</t>
  </si>
  <si>
    <t>A platform alapvető működési logikája a kliens-edző kapcsolatra épül.</t>
  </si>
  <si>
    <t>FK-03</t>
  </si>
  <si>
    <t>FK-04</t>
  </si>
  <si>
    <t>FK-05</t>
  </si>
  <si>
    <t>FK-AI-02</t>
  </si>
  <si>
    <t>FK-06</t>
  </si>
  <si>
    <t>FK-07</t>
  </si>
  <si>
    <t>-</t>
  </si>
  <si>
    <t>Sikeres token generálás, védett végpontok hiba nélküli elérése.</t>
  </si>
  <si>
    <t>Profil adatok (súly, célok, bio) sikeres lekérdezése és módosítása.</t>
  </si>
  <si>
    <t>Token alapú meghívó link generálása, kliens sikeres regisztrációja a linkkel.</t>
  </si>
  <si>
    <t>Ez szolgáltatja a nyers adatot az edzőnek és az MI prediktív elemzőnek.</t>
  </si>
  <si>
    <t>Új napi napló mentése, duplikáció megakadályozása, adatok lekérdezése.</t>
  </si>
  <si>
    <t>A személyi edzés és a platform klasszikus magfunkciója.</t>
  </si>
  <si>
    <t>Hétfői kezdőnappal terv létrehozása, nehézségi szint sikeres módosítása.</t>
  </si>
  <si>
    <t>A Boosted (és a szakdolgozat) fő innovációs értéke (Gemini 3.1 Flash).</t>
  </si>
  <si>
    <t>Strukturált JSON válasz a Geminitől, sikeres frontend statisztika és riasztás renderelés.</t>
  </si>
  <si>
    <t>Az MI integrációk teljességéhez és a felhasználói élményhez szükséges funkció.</t>
  </si>
  <si>
    <t>Szerepkör-specifikus (System Instruction) válaszadási stílus edző és kliens esetén.</t>
  </si>
  <si>
    <t>Kis fejlesztési költségű, de magas UX-et adó funkció a lemorzsolódás ellen.</t>
  </si>
  <si>
    <t>Gombnyomásra a kliens "has_unseen_boost" flagje aktív lesz, pontszáma nő.</t>
  </si>
  <si>
    <t>Hasznos kiegészítő, de az MVP magfunkcióinak (edzés/MI) működését nem gátolja a hiánya.</t>
  </si>
  <si>
    <t>Értékelés beküldése után az edző átlagának és értékelés-számának azonnali frissülése.</t>
  </si>
  <si>
    <t>Túlmutat a szakdolgozat keretein, jogi és technikai komplexitása magas az MVP fázisban.</t>
  </si>
  <si>
    <t>TrueCoach</t>
  </si>
  <si>
    <t>Trainerize</t>
  </si>
  <si>
    <t>MyFitnessPal</t>
  </si>
  <si>
    <t>Személyi edzők és klienseik</t>
  </si>
  <si>
    <t>Fitnesztermek, profi edzők</t>
  </si>
  <si>
    <t>Átlagos fogyni/izmosodni vágyók</t>
  </si>
  <si>
    <t>Edzésterv építő, üzenetküldés, média megosztás</t>
  </si>
  <si>
    <t>Szokáskövetés, fizetés, programozott üzenetek</t>
  </si>
  <si>
    <t>Kalóriaszámlálás, napi makró naplózás, testsúly követés</t>
  </si>
  <si>
    <t>Iparági standard, rendkívül letisztult edzés- és naptárnézet</t>
  </si>
  <si>
    <t>Kiváló gamifikációs elemek (jelvények) a kliensek megtartására</t>
  </si>
  <si>
    <t>Hatalmas ételadatbázis, percek alatt elvégezhető napi rutin</t>
  </si>
  <si>
    <t>Drága, és nincs beépített, prediktív MI elemzés a kliensek adataihoz</t>
  </si>
  <si>
    <t>"Feature bloat" (túl sok funkció), bonyolult beállítás, meredek tanulási görbe</t>
  </si>
  <si>
    <t>Nem az edző-kliens kapcsolatra fókuszál, agresszív reklámok</t>
  </si>
  <si>
    <t>A naptárnézet a leglogikusabb az edzőknek a tervek átlátásához</t>
  </si>
  <si>
    <t>A gamifikáció drasztikusan növeli a kliens aktivitást (retenciót)</t>
  </si>
  <si>
    <t>A napi naplózás űrlapjainak súrlódásmentesnek (gyorsnak) kell lenniük</t>
  </si>
  <si>
    <t>Biztonságos videó- és fájlkezelés aszinkron környezetben</t>
  </si>
  <si>
    <t>Skálázhatóság, bonyolult RBAC (szerepkör-alapú hozzáférés) kezelése</t>
  </si>
  <si>
    <t>Gyors adatbázis írás/olvasás kritikus az UX szempontjából (indexelés)</t>
  </si>
  <si>
    <t>Heti tervek (hétfői kezdéssel) átvétele, de okos MI statisztikákkal felokosítva.</t>
  </si>
  <si>
    <t>Egyszerűsített gamifikáció beépítése (Motivációs Boost gomb), a túlzsúfolt felület elkerülése.</t>
  </si>
  <si>
    <t>A "Daily Log" form (víz, alvás, stressz) a kliensnél egyszerű, mobilon is gyorsan kitölthető legyen.</t>
  </si>
  <si>
    <t>https://truecoach.co/</t>
  </si>
  <si>
    <t>https://www.trainerize.com/</t>
  </si>
  <si>
    <t>https://www.myfitnesspal.com/</t>
  </si>
  <si>
    <t>FK-08</t>
  </si>
  <si>
    <t>NFK-02</t>
  </si>
  <si>
    <t>NFK-03</t>
  </si>
  <si>
    <t>Regisztráció és hitelesítés (JWT)</t>
  </si>
  <si>
    <t>Kliens meghívása és összekapcsolása</t>
  </si>
  <si>
    <t>Napi napló (Daily Log) rögzítése</t>
  </si>
  <si>
    <t>Heti edzéstervek kezelése</t>
  </si>
  <si>
    <t>Prediktív MI Dashboard statisztikák</t>
  </si>
  <si>
    <t>Szerepkör-specifikus MI Chat</t>
  </si>
  <si>
    <t>Gamifikáció: Motivációs Boost</t>
  </si>
  <si>
    <t>Edzői értékelés és minősítés (Reviews)</t>
  </si>
  <si>
    <t>Biztonságos jelszókezelés és tárolás</t>
  </si>
  <si>
    <t>Robusztus MI hiba- és kivételkezelés</t>
  </si>
  <si>
    <t>Válaszidő a listanézeteken és normál API végpontokon</t>
  </si>
  <si>
    <t>Biztonságos fiókhozzáférés és szerepkörök (Edző/Kliens) kezelése</t>
  </si>
  <si>
    <t>A rendszer alapvető működése, edző-kliens kapcsolat kiépítése</t>
  </si>
  <si>
    <t>Nyers adatok biztosítása a kliens fejlődésének követéséhez és az MI elemzéshez</t>
  </si>
  <si>
    <t>A szakmai munka és nehézségi szintek átadása a kliensnek</t>
  </si>
  <si>
    <t>Gyors áttekintés és automatikus veszély-előrejelzés (pl. magas stressz, kihagyások)</t>
  </si>
  <si>
    <t>Azonnali szakmai segítség edzőknek, vagy motiváció klienseknek</t>
  </si>
  <si>
    <t>Felhasználói élmény (UX) javítása, lemorzsolódás csökkentése</t>
  </si>
  <si>
    <t>Minőségbiztosítás és megbízhatóság</t>
  </si>
  <si>
    <t>Adatszivárgás esetén a felhasználói jelszavak védelme</t>
  </si>
  <si>
    <t>Rendszer stabilitása az integrált külső szolgáltatás kimaradása esetén</t>
  </si>
  <si>
    <t>Gördülékeny és súrlódásmentes felhasználói élmény a klienseknek (UX)</t>
  </si>
  <si>
    <t>Érvényes adatoknál tokent ad vissza, hibásnál (pl. hiányzó mező, rossz jelszó) 400/401 hibaüzenet</t>
  </si>
  <si>
    <t>Biztonságos, egyedi token generálása, a linken regisztrált kliens megjelenik az edző listájában</t>
  </si>
  <si>
    <t>Dátum formátum validálása, duplikáció (ugyanarra a napra kétszer) megakadályozása</t>
  </si>
  <si>
    <t>Csak hétfői kezdődátummal menthető terv, frissítés után a kliens felületén is látszik</t>
  </si>
  <si>
    <t>A Gemini strukturált JSON adatot (kártyák, riasztások) ad vissza hiba nélkül, melyből dashboard épül</t>
  </si>
  <si>
    <t>Az MI a "System Instruction" alapján felismeri, kivel beszél, és stílust/tartalmat vált</t>
  </si>
  <si>
    <t>Gombnyomásra a kliens pontszáma nő, és a felületen jelzi a "has_unseen_boost" flag-et</t>
  </si>
  <si>
    <t>1-5 csillagos értékelés mentése, az edző átlagának és értékelésszámának azonnali újraszámolása</t>
  </si>
  <si>
    <t>A jelszavak nem plain-textben, hanem "salted bcrypt" algoritmussal hashelve kerülnek az adatbázisba</t>
  </si>
  <si>
    <t>Ha a Gemini API nem válaszol vagy hibára fut, a backend nem omlik össze, hanem 500-as validációs hibát dob</t>
  </si>
  <si>
    <t>Normál (nem MI) lekérdezések esetén a válaszidő 20 mérésből (p95) &lt; 500ms alatt marad lokális környezetben</t>
  </si>
  <si>
    <t>UC-04</t>
  </si>
  <si>
    <t>UC-05</t>
  </si>
  <si>
    <t>UC-06</t>
  </si>
  <si>
    <t>UC-07</t>
  </si>
  <si>
    <t>UC-08</t>
  </si>
  <si>
    <t>UC-ALL</t>
  </si>
  <si>
    <t>UC-05; UC-06</t>
  </si>
  <si>
    <t>SCR-INVITE</t>
  </si>
  <si>
    <t>SCR-CLIENT-DASH</t>
  </si>
  <si>
    <t>SCR-COACH-PLAN</t>
  </si>
  <si>
    <t>SCR-AI-DASH</t>
  </si>
  <si>
    <t>SCR-CHAT</t>
  </si>
  <si>
    <t>SCR-COACH-CLIENTS</t>
  </si>
  <si>
    <t>SCR-REVIEW</t>
  </si>
  <si>
    <t>Háttérfolyamat</t>
  </si>
  <si>
    <t>Minden</t>
  </si>
  <si>
    <t>TC-04</t>
  </si>
  <si>
    <t>TC-05</t>
  </si>
  <si>
    <t>TC-06</t>
  </si>
  <si>
    <t>TC-AI-01</t>
  </si>
  <si>
    <t>TC-AI-02</t>
  </si>
  <si>
    <t>TC-07</t>
  </si>
  <si>
    <t>TC-08</t>
  </si>
  <si>
    <t>TC-ERR-01</t>
  </si>
  <si>
    <t>adatok megadása → validálás → JWT token és dashboard adatok lekérése</t>
  </si>
  <si>
    <t>hibás jelszó/email → 400 hibaüzenet</t>
  </si>
  <si>
    <t>bejelentkezett állapot (token kliens oldali tárolása)</t>
  </si>
  <si>
    <t>FK-01; NFK-01</t>
  </si>
  <si>
    <t>Kliens meghívása</t>
  </si>
  <si>
    <t>Edző</t>
  </si>
  <si>
    <t>új kliens csatlakoztatása a rendszerhez</t>
  </si>
  <si>
    <t>bejelentkezett edző fiók</t>
  </si>
  <si>
    <t>email megadása → egyedi token generálás → meghívó link megjelenítése/küldése</t>
  </si>
  <si>
    <t>kliens emailje már létezik → figyelmeztetés</t>
  </si>
  <si>
    <r>
      <t xml:space="preserve">új, fel nem használt </t>
    </r>
    <r>
      <rPr>
        <sz val="10"/>
        <color rgb="FF444746"/>
        <rFont val="Google Sans Text"/>
        <family val="2"/>
      </rPr>
      <t>Invite</t>
    </r>
    <r>
      <rPr>
        <sz val="11"/>
        <color rgb="FF1F1F1F"/>
        <rFont val="Arial"/>
        <family val="2"/>
        <charset val="238"/>
      </rPr>
      <t xml:space="preserve"> rekord létrejön az adatbázisban</t>
    </r>
  </si>
  <si>
    <t>Napi napló rögzítése</t>
  </si>
  <si>
    <t>Kliens</t>
  </si>
  <si>
    <t>nyers adatok rögzítése az edzőnek és AI-nak</t>
  </si>
  <si>
    <t>bejelentkezett kliens fiók</t>
  </si>
  <si>
    <t>űrlap kitöltése (alvás, stressz stb.) → validálás → mentés adatbázisba → siker visszajelzés</t>
  </si>
  <si>
    <t>hibás dátum vagy már létező napi rekord → 400-as validációs hiba</t>
  </si>
  <si>
    <r>
      <t xml:space="preserve">új </t>
    </r>
    <r>
      <rPr>
        <sz val="10"/>
        <color rgb="FF444746"/>
        <rFont val="Google Sans Text"/>
        <family val="2"/>
      </rPr>
      <t>DailyLog</t>
    </r>
    <r>
      <rPr>
        <sz val="11"/>
        <color rgb="FF1F1F1F"/>
        <rFont val="Arial"/>
        <family val="2"/>
        <charset val="238"/>
      </rPr>
      <t xml:space="preserve"> rekord jön létre, felhasználó súlya frissül</t>
    </r>
  </si>
  <si>
    <t>Heti edzésterv kiadása</t>
  </si>
  <si>
    <t>strukturált terv átadása a kliensnek</t>
  </si>
  <si>
    <t>bejelentkezett edző, létező kliens kapcsolat</t>
  </si>
  <si>
    <t>kliens kiválasztása → terv, dátum, nehézség megadása → mentés → frissített lista megjelenítése</t>
  </si>
  <si>
    <t>kezdődátum nem hétfő → 400 hibaüzenet</t>
  </si>
  <si>
    <r>
      <t>WeeklyPlan</t>
    </r>
    <r>
      <rPr>
        <sz val="11"/>
        <color rgb="FF1F1F1F"/>
        <rFont val="Arial"/>
        <family val="2"/>
        <charset val="238"/>
      </rPr>
      <t xml:space="preserve"> rekord létrejön/frissül a kiválasztott hétre</t>
    </r>
  </si>
  <si>
    <t>AI Dashboard elemzés generálása</t>
  </si>
  <si>
    <t>Edző / Kliens</t>
  </si>
  <si>
    <t>adatok prediktív, gyors értelmezése</t>
  </si>
  <si>
    <t>bejelentkezett fiók, létező napló adatok</t>
  </si>
  <si>
    <t>gombnyomás → backend JSON kontextus készítése → Gemini API hívás → válasz parseolása → UI kártyák</t>
  </si>
  <si>
    <t>Gemini API hiba/timeout → 500 hibaüzenet, fallback UI jelenik meg</t>
  </si>
  <si>
    <t>MI által strukturált statisztikák és riasztások megjelennek a felületen</t>
  </si>
  <si>
    <t>FK-05; NFK-02</t>
  </si>
  <si>
    <t>AI Chat asszisztens használata</t>
  </si>
  <si>
    <t>azonnali szakmai/motivációs segítség kérése</t>
  </si>
  <si>
    <t>bejelentkezett fiók</t>
  </si>
  <si>
    <t>üzenet beírása → history + System Instruction küldése szerepkör alapján → Gemini válasza → chat UI frissítése</t>
  </si>
  <si>
    <t>hálózati hiba a generálás alatt → hibaüzenet a chatablakban</t>
  </si>
  <si>
    <t>új üzenetpár (user/assistant) jelenik meg a beszélgetésben</t>
  </si>
  <si>
    <t>FK-06; NFK-02</t>
  </si>
  <si>
    <t>Motivációs Boost küldése</t>
  </si>
  <si>
    <t>kliens gyors motiválása egy kattintással</t>
  </si>
  <si>
    <t>"Boost" gomb megnyomása a kliens kártyáján → kliens pontszámának növelése → siker visszajelzés</t>
  </si>
  <si>
    <t>nem létező kliens ID küldése → 404 hiba</t>
  </si>
  <si>
    <r>
      <t xml:space="preserve">kliens </t>
    </r>
    <r>
      <rPr>
        <sz val="10"/>
        <color rgb="FF444746"/>
        <rFont val="Google Sans Text"/>
        <family val="2"/>
      </rPr>
      <t>total_boosts</t>
    </r>
    <r>
      <rPr>
        <sz val="11"/>
        <color rgb="FF1F1F1F"/>
        <rFont val="Arial"/>
        <family val="2"/>
        <charset val="238"/>
      </rPr>
      <t xml:space="preserve"> nő, </t>
    </r>
    <r>
      <rPr>
        <sz val="10"/>
        <color rgb="FF444746"/>
        <rFont val="Google Sans Text"/>
        <family val="2"/>
      </rPr>
      <t>has_unseen_boost</t>
    </r>
    <r>
      <rPr>
        <sz val="11"/>
        <color rgb="FF1F1F1F"/>
        <rFont val="Arial"/>
        <family val="2"/>
        <charset val="238"/>
      </rPr>
      <t xml:space="preserve"> flag True-ra vált</t>
    </r>
  </si>
  <si>
    <t>Edző értékelése (Review)</t>
  </si>
  <si>
    <t>visszajelzés adása az edzői munkáról</t>
  </si>
  <si>
    <t>csillagok (1-5) megadása → mentés → edző átlagának és darabszámának azonnali újraszámolása</t>
  </si>
  <si>
    <t>hiányzó paraméter → 422 Unprocessable Entity hiba</t>
  </si>
  <si>
    <r>
      <t xml:space="preserve">új </t>
    </r>
    <r>
      <rPr>
        <sz val="10"/>
        <color rgb="FF444746"/>
        <rFont val="Google Sans Text"/>
        <family val="2"/>
      </rPr>
      <t>Review</t>
    </r>
    <r>
      <rPr>
        <sz val="11"/>
        <color rgb="FF1F1F1F"/>
        <rFont val="Arial"/>
        <family val="2"/>
        <charset val="238"/>
      </rPr>
      <t xml:space="preserve"> rekord mentve, edző </t>
    </r>
    <r>
      <rPr>
        <sz val="10"/>
        <color rgb="FF444746"/>
        <rFont val="Google Sans Text"/>
        <family val="2"/>
      </rPr>
      <t>average_rating</t>
    </r>
    <r>
      <rPr>
        <sz val="11"/>
        <color rgb="FF1F1F1F"/>
        <rFont val="Arial"/>
        <family val="2"/>
        <charset val="238"/>
      </rPr>
      <t xml:space="preserve"> értéke frissítve</t>
    </r>
  </si>
  <si>
    <t>Bejelentkezés és Regisztráció</t>
  </si>
  <si>
    <t>felhasználó azonosítása és fiók létrehozása</t>
  </si>
  <si>
    <t>email, jelszó input, login/register gombok, toggle</t>
  </si>
  <si>
    <t>hibás email, rossz jelszó, hiányzó mező</t>
  </si>
  <si>
    <t>hibamegelőzés, gyors visszajelzés</t>
  </si>
  <si>
    <t>input labelek (aria), megfelelő fókuszsorrend (Tab), kontraszt</t>
  </si>
  <si>
    <t>SCR-COACH-DASH</t>
  </si>
  <si>
    <t>Edzői AI Dashboard</t>
  </si>
  <si>
    <t>kliensek státuszának prediktív áttekintése</t>
  </si>
  <si>
    <t>AI elemzés kártyák, riasztások listája, napi statisztikák</t>
  </si>
  <si>
    <t>loading (skeleton), adatokkal feltöltve, hiba (fallback)</t>
  </si>
  <si>
    <t>MI szolgáltatás timeout, nincs elég kliensadat</t>
  </si>
  <si>
    <t>információ-hierarchia, rendszerállapot láthatósága</t>
  </si>
  <si>
    <t>reszponzív grid, olvasható betűméret, kártyákhoz tartozó aria-label</t>
  </si>
  <si>
    <t>Kliensek kezelése</t>
  </si>
  <si>
    <t>saját kliensek listázása, meghívás, Boost küldés</t>
  </si>
  <si>
    <t>kliens kártyák, "Boost" gomb, "Új kliens" modal</t>
  </si>
  <si>
    <t>üres lista, betöltve, meghívó modal nyitva/zárva</t>
  </si>
  <si>
    <t>sikertelen email küldés, érvénytelen kliens ID</t>
  </si>
  <si>
    <t>UC-02, UC-07</t>
  </si>
  <si>
    <t>felismerés a felidézés helyett, vizuális fókusz</t>
  </si>
  <si>
    <t>gombok egyértelmű szövegezése, modal ablaknál fókusztrap (focus trap)</t>
  </si>
  <si>
    <t>SCR-PLAN-EDITOR</t>
  </si>
  <si>
    <t>Edzésterv Tervező</t>
  </si>
  <si>
    <t>heti tervek létrehozása és kiadása a kliensnek</t>
  </si>
  <si>
    <t>dátumválasztó, nehézségi szint dropdown, szöveges beviteli mező</t>
  </si>
  <si>
    <t>üres űrlap, szerkesztés alatt, mentés folyamatban</t>
  </si>
  <si>
    <t>nem hétfői dátum kiválasztva, hálózati mentési hiba</t>
  </si>
  <si>
    <t>flexibilitás és hatékonyság (gyors szerkesztés)</t>
  </si>
  <si>
    <t>billentyűzettel navigálható űrlap, egyértelmű fókusz (outline) állapotok</t>
  </si>
  <si>
    <t>Kliens Napi Napló</t>
  </si>
  <si>
    <t>napi fizikai és mentális adatok gyors rögzítése</t>
  </si>
  <si>
    <t>sliderek (stressz), szám beviteli mezők (alvás, víz), "Mentés" gomb</t>
  </si>
  <si>
    <t>kitöltésre vár, loading, kitöltve (mai napra zárolva)</t>
  </si>
  <si>
    <t>duplikált rögzítési kísérlet, üres kötelező mezők</t>
  </si>
  <si>
    <t>súrlódásmentes adatbevitel (Fitts törvénye)</t>
  </si>
  <si>
    <t>nagy érintési felületek (touch targets mobilra), sliderekhez text input alternatíva</t>
  </si>
  <si>
    <t>közvetlen kommunikáció a Gemini AI-val</t>
  </si>
  <si>
    <t>üzenetlista, szövegbeviteli mező, küldés gomb</t>
  </si>
  <si>
    <t>üres chat, felhasználó gépel, AI válaszra vár, válasz megérkezett</t>
  </si>
  <si>
    <t>hálózati timeout, biztonsági (safety) tiltás az MI-től</t>
  </si>
  <si>
    <t>valós világ és rendszer egyezése (chat metafora)</t>
  </si>
  <si>
    <t>kontrasztkülönbség a saját és az MI üzenetek között, képernyőolvasó támogatás</t>
  </si>
  <si>
    <t>SCR-PROFILE</t>
  </si>
  <si>
    <t>Profil és Értékelés</t>
  </si>
  <si>
    <t>személyes adatok szerkesztése, edző értékelése</t>
  </si>
  <si>
    <t>profilkép, bio, paraméterek (súly), csillagos értékelő</t>
  </si>
  <si>
    <t>olvasási mód, szerkesztési mód, sikeres mentés</t>
  </si>
  <si>
    <t>403 jogosultsági hiba, érvénytelen súly formátum</t>
  </si>
  <si>
    <t>felhasználói kontroll és szabadság</t>
  </si>
  <si>
    <t>egyértelmű "Mégsem" / "Mentés" gombok, hibaüzenetek piros szín + szöveges ikon mellett</t>
  </si>
  <si>
    <t>SPA (Single Page Application), gyors UI fejlesztés, reszponzivitás</t>
  </si>
  <si>
    <t>React, Angular, Vue</t>
  </si>
  <si>
    <t>tanulási görbe; komponens-alapúság; teljesítmény; ökoszisztéma</t>
  </si>
  <si>
    <t>React</t>
  </si>
  <si>
    <t>Hatalmas ökoszisztéma, meglévő hallgatói tapasztalat, rugalmas komponens-architektúra.</t>
  </si>
  <si>
    <t>verziókövetés, külső dependenciák (npm) elavulása</t>
  </si>
  <si>
    <t>prototípus + build futtatása</t>
  </si>
  <si>
    <t>Backend API keretrendszer</t>
  </si>
  <si>
    <t>Python alapú, nagy teljesítményű API, ami könnyen integrálja az MI-t</t>
  </si>
  <si>
    <t>FastAPI, Django, Flask</t>
  </si>
  <si>
    <t>aszinkron támogatás (async/await); API doksi (Swagger); sebesség</t>
  </si>
  <si>
    <t>FastAPI</t>
  </si>
  <si>
    <t>Beépített Pydantic adatszűrés, automatikus Swagger dokumentáció, natív aszinkron működés, ami az MI hívásoknál kritikus.</t>
  </si>
  <si>
    <t>Kisebb beépített modulválaszték, mint a Django esetében (mindent külön kell integrálni).</t>
  </si>
  <si>
    <t>API végpontok tesztelése (pytest), OpenAPI doksi generálása</t>
  </si>
  <si>
    <t>Hitelesítési stratégia (Auth)</t>
  </si>
  <si>
    <t>Szerepkörök (Edző/Kliens) kezelése, állapotmentes (stateless) szerver</t>
  </si>
  <si>
    <t>JWT (saját), OIDC (pl. Keycloak), Session alapú</t>
  </si>
  <si>
    <t>biztonság; üzemeltetési komplexitás; integrálhatóság SPA-val</t>
  </si>
  <si>
    <t>JWT (saját)</t>
  </si>
  <si>
    <t>Állapotmentes, szabványos API hitelesítés. Az MVP-hez egy teljes OIDC szerver (Keycloak) felesleges ágyúval verébbel felesleges túlzás lett volna.</t>
  </si>
  <si>
    <t>A lejárt/kompromittálódott tokenek visszavonása (revocation) komplex.</t>
  </si>
  <si>
    <t>Auth flow teszt (pl. token nélküli tiltás pytest-tel)</t>
  </si>
  <si>
    <t>ADR-004</t>
  </si>
  <si>
    <t>Adatbázis technológia</t>
  </si>
  <si>
    <t>Relációs adatok (felhasználók, naplók, tervek) tárolása</t>
  </si>
  <si>
    <t>SQLite, PostgreSQL, MongoDB</t>
  </si>
  <si>
    <t>beállítási idő; relációs integritás; telepítési környezet</t>
  </si>
  <si>
    <t>SQLite</t>
  </si>
  <si>
    <t>Zero-config (fájl alapú), tökéletesen elegendő a szakdolgozati bemutatóhoz és az MVP fázishoz. Nem igényel külön szervert.</t>
  </si>
  <si>
    <t>Nagy terhelésnél (konkurens írás) és éles (Production) környezetben skálázhatósági korlátok.</t>
  </si>
  <si>
    <r>
      <t xml:space="preserve">Adatbázis tranzakciók tesztelése izolált </t>
    </r>
    <r>
      <rPr>
        <sz val="10"/>
        <color rgb="FF444746"/>
        <rFont val="Google Sans Text"/>
        <family val="2"/>
      </rPr>
      <t>test_boosted.db</t>
    </r>
    <r>
      <rPr>
        <sz val="11"/>
        <color rgb="FF1F1F1F"/>
        <rFont val="Arial"/>
        <family val="2"/>
        <charset val="238"/>
      </rPr>
      <t>-vel</t>
    </r>
  </si>
  <si>
    <t>ADR-005</t>
  </si>
  <si>
    <t>Adatbázis ORM réteg</t>
  </si>
  <si>
    <t>Python és az adatbázis közötti biztonságos kommunikáció</t>
  </si>
  <si>
    <t>SQLAlchemy, Tortoise ORM, Nyers SQL hívások</t>
  </si>
  <si>
    <t>Biztonság (SQL injection ellen); karbantarthatóság; típusbiztonság</t>
  </si>
  <si>
    <t>SQLAlchemy</t>
  </si>
  <si>
    <t>Iparági standard a Python világban. Deklaratív modellek, könnyű adatbázis migráció a jövőben.</t>
  </si>
  <si>
    <t>Meredekebb tanulási görbe a komplex lekérdezéseknél.</t>
  </si>
  <si>
    <t>Sikeres CRUD műveletek a backend kódban hiba nélkül</t>
  </si>
  <si>
    <t>ADR-006</t>
  </si>
  <si>
    <t>AI / LLM Szolgáltató</t>
  </si>
  <si>
    <t>Prediktív dashboard generálás és chat asszisztens</t>
  </si>
  <si>
    <t>Google Gemini (3.1 Flash), OpenAI (GPT-4o), Lokális (Llama 3)</t>
  </si>
  <si>
    <t>Költség; generálási sebesség; JSON kimenet megbízhatósága; kontextus ablak</t>
  </si>
  <si>
    <t>Google Gemini</t>
  </si>
  <si>
    <t>A Flash modell extrém gyors, költséghatékony, és nagyon stabilan ad vissza strukturált JSON adatot a Dashboardhoz.</t>
  </si>
  <si>
    <t>Vendor lock-in (függőség a Google API-tól és csomagok elavulásától).</t>
  </si>
  <si>
    <t>Sikeres MI válaszok parse-olása (JSON formátum) a végpontokon</t>
  </si>
  <si>
    <t>ADR-007</t>
  </si>
  <si>
    <t>Automatizált Tesztelés</t>
  </si>
  <si>
    <t>A backend üzleti logikájának és végpontjainak ellenőrzése</t>
  </si>
  <si>
    <t>Pytest, Unittest</t>
  </si>
  <si>
    <t>szintaxis egyszerűsége; fixture támogatás; riportolás</t>
  </si>
  <si>
    <t>Pytest</t>
  </si>
  <si>
    <t>Lényegesen tömörebb kód, mint az Unittestnél. A Fixture-ök (pl. izolált adatbázis a teszthez) könnyen felépíthetők vele.</t>
  </si>
  <si>
    <t>- (Nincs releváns kockázata)</t>
  </si>
  <si>
    <t>100%-ban lefutó tesztcsomag a CI/CD vagy lokális futtatás során</t>
  </si>
  <si>
    <t>User</t>
  </si>
  <si>
    <t>Felhasználói adatok, szerepkörök, profil és gamifikáció tárolása</t>
  </si>
  <si>
    <t>id, email, password_hash, role, coach_id, total_boosts</t>
  </si>
  <si>
    <t>1:N DailyLog, WeeklyPlan, Review, Invite (coach_id)</t>
  </si>
  <si>
    <t>egyedi email, létező szerepkör</t>
  </si>
  <si>
    <t>DailyLog</t>
  </si>
  <si>
    <t>Kliens napi egészségügyi és edzés adatainak rögzítése</t>
  </si>
  <si>
    <t>id, client_id, date, sleep, stress, weight</t>
  </si>
  <si>
    <t>N:1 User (client_id alapján)</t>
  </si>
  <si>
    <t>kliens létrehozza, edző olvassa</t>
  </si>
  <si>
    <t>napi 1 rekord korlát, dátum validáció</t>
  </si>
  <si>
    <t>WeeklyPlan</t>
  </si>
  <si>
    <t>Heti strukturált edzésterv átadása</t>
  </si>
  <si>
    <t>id, client_id, week_start_date, plan_data, difficulty_level</t>
  </si>
  <si>
    <t>edző hozza létre/módosítja, kliens olvassa</t>
  </si>
  <si>
    <t>kezdődátum kizárólag hétfő lehet</t>
  </si>
  <si>
    <t>POST /api/register &amp; /api/login</t>
  </si>
  <si>
    <t>Fiók létrehozása és hitelesítése (JWT)</t>
  </si>
  <si>
    <t>email, password → token, profil adatok</t>
  </si>
  <si>
    <t>Bcrypt modul, User entitás</t>
  </si>
  <si>
    <t>email formátum, jelszó egyezés</t>
  </si>
  <si>
    <t>PUT /api/user/{id}/profile</t>
  </si>
  <si>
    <t>Személyes profil (súly, bio) módosítása</t>
  </si>
  <si>
    <t>ProfileUpdate schema</t>
  </si>
  <si>
    <t>get_current_user modul (őr)</t>
  </si>
  <si>
    <t>védett (csak a saját profil)</t>
  </si>
  <si>
    <t>payload típusok, token dekódolás</t>
  </si>
  <si>
    <t>TC-PROF-01</t>
  </si>
  <si>
    <t>GET &amp; POST /api/client/log</t>
  </si>
  <si>
    <t>Napi napló lekérdezése és beküldése</t>
  </si>
  <si>
    <t>DailyLogCreate schema</t>
  </si>
  <si>
    <t>DailyLog entitás, User entitás (súly frissítés)</t>
  </si>
  <si>
    <t>védett (edző és az adott kliens)</t>
  </si>
  <si>
    <t>kötelező mezők kitöltöttsége</t>
  </si>
  <si>
    <t>POST /api/generate-ai-dashboard</t>
  </si>
  <si>
    <t>Prediktív dashboard statisztikák generálása</t>
  </si>
  <si>
    <t>context_data, user_type → JSON response</t>
  </si>
  <si>
    <t>Gemini AI Engine modul</t>
  </si>
  <si>
    <t>védett (token szükséges)</t>
  </si>
  <si>
    <t>JSON formátum betartása, hibaágak</t>
  </si>
  <si>
    <t>POST /api/chat</t>
  </si>
  <si>
    <t>Szerepkör-specifikus beszélgetés az MI-vel</t>
  </si>
  <si>
    <t>ChatRequest schema (history) → reply text</t>
  </si>
  <si>
    <t>védett</t>
  </si>
  <si>
    <t>System Instruction megfelelő kiválasztása</t>
  </si>
  <si>
    <r>
      <t>Auth Guard (</t>
    </r>
    <r>
      <rPr>
        <sz val="10"/>
        <color rgb="FF444746"/>
        <rFont val="Google Sans Text"/>
        <family val="2"/>
      </rPr>
      <t>get_current_user</t>
    </r>
    <r>
      <rPr>
        <sz val="11"/>
        <color rgb="FF1F1F1F"/>
        <rFont val="Arial"/>
        <family val="2"/>
        <charset val="238"/>
      </rPr>
      <t>)</t>
    </r>
  </si>
  <si>
    <t>JWT tokenek validálása és végpontok védelme</t>
  </si>
  <si>
    <t>HTTPAuthorizationCredentials → User objektum</t>
  </si>
  <si>
    <t>JWT könyvtár, FastAPI Depends</t>
  </si>
  <si>
    <t>API szintű (middleware)</t>
  </si>
  <si>
    <t>token lejárati idő (exp), létező user_id</t>
  </si>
  <si>
    <r>
      <t>Gemini AI Engine (</t>
    </r>
    <r>
      <rPr>
        <sz val="10"/>
        <color rgb="FF444746"/>
        <rFont val="Google Sans Text"/>
        <family val="2"/>
      </rPr>
      <t>genai</t>
    </r>
    <r>
      <rPr>
        <sz val="11"/>
        <color rgb="FF1F1F1F"/>
        <rFont val="Arial"/>
        <family val="2"/>
        <charset val="238"/>
      </rPr>
      <t>)</t>
    </r>
  </si>
  <si>
    <t>LLM promptok feldolgozása, predikciók generálása</t>
  </si>
  <si>
    <r>
      <t>generate_content()</t>
    </r>
    <r>
      <rPr>
        <sz val="11"/>
        <color rgb="FF1F1F1F"/>
        <rFont val="Arial"/>
        <family val="2"/>
        <charset val="238"/>
      </rPr>
      <t xml:space="preserve">, </t>
    </r>
    <r>
      <rPr>
        <sz val="10"/>
        <color rgb="FF444746"/>
        <rFont val="Google Sans Text"/>
        <family val="2"/>
      </rPr>
      <t>start_chat()</t>
    </r>
  </si>
  <si>
    <t>Külső API hívás, .env (GEMINI_API_KEY)</t>
  </si>
  <si>
    <t>backend-backend (szerver szintű)</t>
  </si>
  <si>
    <t>timeout, 500-as fallback hiba generálása</t>
  </si>
  <si>
    <t>Nincsenek valós titkok/jelszavak a kódbázisban (GitHub repóban).</t>
  </si>
  <si>
    <t>Jelszavak biztonságos tárolása az adatbázisban (nem sima szövegként).</t>
  </si>
  <si>
    <t>A "salted bcrypt" algoritmus megakadályozza, hogy adatbázis szivárgás esetén visszafejtsék a jelszavakat.</t>
  </si>
  <si>
    <t>AAA (AuthZ)</t>
  </si>
  <si>
    <t>Backend oldali jogosultság-ellenőrzés (IDOR sérülékenység ellen).</t>
  </si>
  <si>
    <t>Egy kliens JWT tokenjével nem lehet egy másik kliens profilját módosítani (Sikeres 403-as teszt).</t>
  </si>
  <si>
    <t>SQLi</t>
  </si>
  <si>
    <t>SQL Injection (SQL kód injektálás) elleni védelem.</t>
  </si>
  <si>
    <t>Az ORM automatikusan paraméterezett és escape-elt lekérdezéseket futtat, így a támadó nem tud SQL parancsot futtatni.</t>
  </si>
  <si>
    <t>Felhasználói input biztonságos megjelenítése (Cross-Site Scripting).</t>
  </si>
  <si>
    <t>A frontend automatikusan "escape"-eli a speciális karaktereket, így a kliens által beírt megjegyzés nem futhat le scriptként.</t>
  </si>
  <si>
    <t>API / Bemenet</t>
  </si>
  <si>
    <t>Bemeneti adatok típusának és formátumának szigorú ellenőrzése.</t>
  </si>
  <si>
    <t>A Pydantic azonnal 422-es (Unprocessable Entity) hibát dob, ha valaki szám helyett szöveget küld az API-nak.</t>
  </si>
  <si>
    <t>AI Biztonság</t>
  </si>
  <si>
    <t>Prompt Injection (MI manipuláció) elleni védelem.</t>
  </si>
  <si>
    <t>A felhasználó nem tudja "eltéríteni" az AI-t, mert az alaputasítást a backend adja, a felhasználótól csak a nyers adat (kontextus) jön.</t>
  </si>
  <si>
    <t>Rate limit / Brute force elleni védelem (túl sok kérés blokkolása).</t>
  </si>
  <si>
    <t>Nincs dedikált RateLimiter beépítve a backendbe.</t>
  </si>
  <si>
    <t>.env.example fájl + os.getenv() hívások a kódban. A valódi .env a .gitignore-ban van.</t>
  </si>
  <si>
    <t>bcrypt.hashpw és gensalt() használata a get_password_hash függvényben.</t>
  </si>
  <si>
    <t>get_current_user JWT őr a végpontokon + azonosító ellenőrzés (pl. if current_user.id != user_id: 403).</t>
  </si>
  <si>
    <t>SQLAlchemy ORM használata (pl. db.query(User).filter(...)) nyers SQL stringek helyett.</t>
  </si>
  <si>
    <r>
      <t xml:space="preserve">SQLAlchemy ORM használata (pl. </t>
    </r>
    <r>
      <rPr>
        <sz val="10"/>
        <rFont val="Arial Unicode MS"/>
      </rPr>
      <t>db.query(User).filter(...)</t>
    </r>
    <r>
      <rPr>
        <sz val="11"/>
        <rFont val="Carlito"/>
      </rPr>
      <t>) nyers SQL stringek helyett.</t>
    </r>
  </si>
  <si>
    <r>
      <t xml:space="preserve">FastAPI + Pydantic modellek (pl. </t>
    </r>
    <r>
      <rPr>
        <sz val="10"/>
        <rFont val="Arial Unicode MS"/>
      </rPr>
      <t>ProfileUpdate</t>
    </r>
    <r>
      <rPr>
        <sz val="11"/>
        <rFont val="Carlito"/>
      </rPr>
      <t xml:space="preserve">, </t>
    </r>
    <r>
      <rPr>
        <sz val="10"/>
        <rFont val="Arial Unicode MS"/>
      </rPr>
      <t>DailyLogCreate</t>
    </r>
    <r>
      <rPr>
        <sz val="11"/>
        <rFont val="Carlito"/>
      </rPr>
      <t>).</t>
    </r>
  </si>
  <si>
    <r>
      <t xml:space="preserve">Hardcoded </t>
    </r>
    <r>
      <rPr>
        <sz val="10"/>
        <rFont val="Arial Unicode MS"/>
      </rPr>
      <t>system_instruction</t>
    </r>
    <r>
      <rPr>
        <sz val="11"/>
        <rFont val="Carlito"/>
      </rPr>
      <t xml:space="preserve"> a backendben, és szigorú JSON séma előírás.</t>
    </r>
  </si>
  <si>
    <r>
      <t xml:space="preserve">A JWT </t>
    </r>
    <r>
      <rPr>
        <sz val="10"/>
        <rFont val="Arial Unicode MS"/>
      </rPr>
      <t>SECRET_KEY</t>
    </r>
    <r>
      <rPr>
        <sz val="11"/>
        <rFont val="Carlito"/>
      </rPr>
      <t xml:space="preserve"> és a </t>
    </r>
    <r>
      <rPr>
        <sz val="10"/>
        <rFont val="Arial Unicode MS"/>
      </rPr>
      <t>GEMINI_API_KEY</t>
    </r>
    <r>
      <rPr>
        <sz val="11"/>
        <rFont val="Carlito"/>
      </rPr>
      <t xml:space="preserve"> biztonságosan, környezeti változóból töltődik be.</t>
    </r>
  </si>
  <si>
    <r>
      <t xml:space="preserve">MVP fázisban, zárt demó környezetben nem kritikus. Későbbi élesítésnél Cloudflare vagy FastAPI </t>
    </r>
    <r>
      <rPr>
        <sz val="10"/>
        <rFont val="Arial Unicode MS"/>
      </rPr>
      <t>slowapi</t>
    </r>
    <r>
      <rPr>
        <sz val="11"/>
        <rFont val="Carlito"/>
      </rPr>
      <t xml:space="preserve"> modul integrálása javasolt.</t>
    </r>
  </si>
  <si>
    <t>integrációs</t>
  </si>
  <si>
    <t>Sikeres belépés edzőként</t>
  </si>
  <si>
    <t>Hibás belépés kezelése</t>
  </si>
  <si>
    <t>Saját profil frissítése</t>
  </si>
  <si>
    <t>Új kliens meghívása</t>
  </si>
  <si>
    <t>Napi napló duplikációjának szűrése</t>
  </si>
  <si>
    <t>Heti edzésterv dátum validációja</t>
  </si>
  <si>
    <t>AI Dashboard generálás</t>
  </si>
  <si>
    <t>Védett végpont elérése token nélkül</t>
  </si>
  <si>
    <t>Hibás dátumformátum naplózásnál</t>
  </si>
  <si>
    <t>létező edző user az adatbázisban</t>
  </si>
  <si>
    <t>létező user az adatbázisban</t>
  </si>
  <si>
    <t>bejelentkezett user (érvényes JWT token a Headerben)</t>
  </si>
  <si>
    <t>bejelentkezett kliens, egy napló már létezik a mai napra</t>
  </si>
  <si>
    <t>létező kliens naplók, érvényes Gemini API kulcs az .env-ben</t>
  </si>
  <si>
    <t>bejelentkezett user</t>
  </si>
  <si>
    <t>bejelentkezett edző, kliens létezik</t>
  </si>
  <si>
    <t>bejelentkezett kliens</t>
  </si>
  <si>
    <t>1. POST /api/login hívása érvényes email és jelszó párossal</t>
  </si>
  <si>
    <t>1. POST /api/login hívása szándékosan rontott jelszóval</t>
  </si>
  <si>
    <t>1. PUT /api/user/{id}/profile hívása új súly és bio adatokkal</t>
  </si>
  <si>
    <t>1. POST /api/invite hívása egy teszt kliens emaillel</t>
  </si>
  <si>
    <t>1. POST /api/client/log hívása ugyanarra a dátumra</t>
  </si>
  <si>
    <t>1. PUT /api/client/{id}/plan hívása nem hétfői kezdődátummal</t>
  </si>
  <si>
    <t>1. POST /api/generate-ai-dashboard hívása a kliens kontextus adattal</t>
  </si>
  <si>
    <t>1. POST /api/chat hívása az üzenet history-val</t>
  </si>
  <si>
    <t>1. POST /api/client/{id}/boost hívása</t>
  </si>
  <si>
    <t>1. Védett végpont (pl. profil módosítás) hívása token nélkül</t>
  </si>
  <si>
    <t>1. POST /api/client/log hívása "alma" dátum stringgel</t>
  </si>
  <si>
    <t>200 OK, JWT token visszatér, szerepkör "COACH"</t>
  </si>
  <si>
    <t>400 Bad Request hiba, "Hibás email vagy jelszó!" üzenet</t>
  </si>
  <si>
    <t>200 OK, az adatok frissülnek a DB-ben</t>
  </si>
  <si>
    <t>200 OK, generált egyedi token és frontend link visszatér</t>
  </si>
  <si>
    <t>400 Bad Request hiba, "Erre a napra már rögzítettél adatot!"</t>
  </si>
  <si>
    <t>400 Bad Request hiba, "A kezdő dátumnak hétfőnek kell lennie!"</t>
  </si>
  <si>
    <t>200 OK, a Gemini érvényes JSON struktúrát (kártyák, riasztások) ad vissza</t>
  </si>
  <si>
    <t>200 OK, az MI reagál a System Instruction alapján</t>
  </si>
  <si>
    <r>
      <t xml:space="preserve">200 OK, kliens </t>
    </r>
    <r>
      <rPr>
        <sz val="10"/>
        <rFont val="Arial Unicode MS"/>
      </rPr>
      <t>has_unseen_boost</t>
    </r>
    <r>
      <rPr>
        <sz val="11"/>
        <rFont val="Carlito"/>
      </rPr>
      <t xml:space="preserve"> flagje True lesz</t>
    </r>
  </si>
  <si>
    <t>403 Forbidden (vagy 401 Unauthorized) hibaüzenet visszatér</t>
  </si>
  <si>
    <t>400 Bad Request, "Hibás dátum formátum!" visszatér (szerver nem omlik össze)</t>
  </si>
  <si>
    <r>
      <t>test_login_success</t>
    </r>
    <r>
      <rPr>
        <sz val="11"/>
        <rFont val="Carlito"/>
      </rPr>
      <t xml:space="preserve"> a pytestben</t>
    </r>
  </si>
  <si>
    <t>test_login_wrong_credentials</t>
  </si>
  <si>
    <t>A rendszer csak hétfői kezdést enged.</t>
  </si>
  <si>
    <t>HTTPBearer függőség letesztelve</t>
  </si>
  <si>
    <t>Kivételkezelés tesztje</t>
  </si>
  <si>
    <t>UC-05, UC-06</t>
  </si>
  <si>
    <t>ADR-003 (JWT)</t>
  </si>
  <si>
    <t>ADR-002 (FastAPI)</t>
  </si>
  <si>
    <t>ADR-005 (SQLAlchemy)</t>
  </si>
  <si>
    <t>ADR-004 (SQLite)</t>
  </si>
  <si>
    <t>ADR-006 (Gemini)</t>
  </si>
  <si>
    <t>ADR-001 (React)</t>
  </si>
  <si>
    <t>login végpont, create_access_token</t>
  </si>
  <si>
    <t>create_invite, register_client</t>
  </si>
  <si>
    <t>create_daily_log végpont, DailyLog modell</t>
  </si>
  <si>
    <r>
      <t>update_client_plan</t>
    </r>
    <r>
      <rPr>
        <sz val="11"/>
        <rFont val="Carlito"/>
      </rPr>
      <t xml:space="preserve"> végpont</t>
    </r>
  </si>
  <si>
    <r>
      <t>generate_ai_dashboard</t>
    </r>
    <r>
      <rPr>
        <sz val="11"/>
        <rFont val="Carlito"/>
      </rPr>
      <t xml:space="preserve"> végpont</t>
    </r>
  </si>
  <si>
    <r>
      <t>chat_with_ai</t>
    </r>
    <r>
      <rPr>
        <sz val="11"/>
        <rFont val="Carlito"/>
      </rPr>
      <t xml:space="preserve"> végpont</t>
    </r>
  </si>
  <si>
    <r>
      <t>send_boost</t>
    </r>
    <r>
      <rPr>
        <sz val="11"/>
        <rFont val="Carlito"/>
      </rPr>
      <t xml:space="preserve"> végpont</t>
    </r>
  </si>
  <si>
    <r>
      <t>submit_review</t>
    </r>
    <r>
      <rPr>
        <sz val="11"/>
        <rFont val="Carlito"/>
      </rPr>
      <t xml:space="preserve"> végpont</t>
    </r>
  </si>
  <si>
    <r>
      <t>get_password_hash</t>
    </r>
    <r>
      <rPr>
        <sz val="11"/>
        <rFont val="Carlito"/>
      </rPr>
      <t xml:space="preserve"> (Bcrypt), </t>
    </r>
    <r>
      <rPr>
        <sz val="10"/>
        <rFont val="Arial Unicode MS"/>
      </rPr>
      <t>get_current_user</t>
    </r>
  </si>
  <si>
    <r>
      <t>try-except</t>
    </r>
    <r>
      <rPr>
        <sz val="11"/>
        <rFont val="Carlito"/>
      </rPr>
      <t xml:space="preserve"> blokk az AI hívásoknál</t>
    </r>
  </si>
  <si>
    <t>Sikeres és hibás ágak is tesztelve.</t>
  </si>
  <si>
    <t>Kliens meghívás teljes flow-ja.</t>
  </si>
  <si>
    <t>Duplikáció szűrése a tesztben bizonyítva.</t>
  </si>
  <si>
    <t>Csak hétfői dátum menthető, teszt igazolja.</t>
  </si>
  <si>
    <t>Strukturált JSON visszaadása validálva.</t>
  </si>
  <si>
    <t>System Instruction átadása tesztelve.</t>
  </si>
  <si>
    <t>Pontszám növelés és UI flag frissülés.</t>
  </si>
  <si>
    <t>Értékelés és átlagszámítás tesztelve.</t>
  </si>
  <si>
    <t>Nyers jelszó nem tárolódik, jogosultságok védettek.</t>
  </si>
  <si>
    <t>Ha a Google API nem elérhető, a szerver 500-as hibát dob, nem omlik össze.</t>
  </si>
  <si>
    <t>automatizált tesztek (pytest) futtathatók</t>
  </si>
  <si>
    <t>Verziókövetés</t>
  </si>
  <si>
    <t>valódi titkok és felesleges fájlok nincsenek a repóban</t>
  </si>
  <si>
    <r>
      <t>.gitignore</t>
    </r>
    <r>
      <rPr>
        <sz val="11"/>
        <rFont val="Carlito"/>
      </rPr>
      <t xml:space="preserve"> fájl</t>
    </r>
  </si>
  <si>
    <t>tests/test_main.py és tesztlog</t>
  </si>
  <si>
    <t>boosted.db fájl + README 3. pont</t>
  </si>
  <si>
    <t>.env.example fájl</t>
  </si>
  <si>
    <r>
      <t xml:space="preserve">A valódi jelszavakat tartalmazó </t>
    </r>
    <r>
      <rPr>
        <sz val="10"/>
        <rFont val="Arial Unicode MS"/>
      </rPr>
      <t>.env</t>
    </r>
    <r>
      <rPr>
        <sz val="11"/>
        <rFont val="Carlito"/>
      </rPr>
      <t xml:space="preserve"> fájl, a </t>
    </r>
    <r>
      <rPr>
        <sz val="10"/>
        <rFont val="Arial Unicode MS"/>
      </rPr>
      <t>__pycache__</t>
    </r>
    <r>
      <rPr>
        <sz val="11"/>
        <rFont val="Carlito"/>
      </rPr>
      <t xml:space="preserve"> és a </t>
    </r>
    <r>
      <rPr>
        <sz val="10"/>
        <rFont val="Arial Unicode MS"/>
      </rPr>
      <t>node_modules</t>
    </r>
    <r>
      <rPr>
        <sz val="11"/>
        <rFont val="Carlito"/>
      </rPr>
      <t xml:space="preserve"> mappák szigorúan ki vannak zárva a Gitből.</t>
    </r>
  </si>
  <si>
    <r>
      <t xml:space="preserve">A </t>
    </r>
    <r>
      <rPr>
        <sz val="10"/>
        <rFont val="Arial Unicode MS"/>
      </rPr>
      <t>python -m pytest</t>
    </r>
    <r>
      <rPr>
        <sz val="11"/>
        <rFont val="Carlito"/>
      </rPr>
      <t xml:space="preserve"> parancs teljesen izolált tesztadatbázist (</t>
    </r>
    <r>
      <rPr>
        <sz val="10"/>
        <rFont val="Arial Unicode MS"/>
      </rPr>
      <t>test_boosted.db</t>
    </r>
    <r>
      <rPr>
        <sz val="11"/>
        <rFont val="Carlito"/>
      </rPr>
      <t>) használ, így a futtatása nem teszi tönkre a demó adatokat.</t>
    </r>
  </si>
  <si>
    <t>A repó tartalmaz egy előkészített boosted.db fájlt, amelyben a README-ben szereplő tesztfiókok (edző és kliens) már léteznek és össze vannak kapcsolva a könnyű teszteléshez.</t>
  </si>
  <si>
    <t>JWT titkos kulcs és Gemini API kulcs helyőrzőkkel van ellátva, a Frontend URL és lokális SQLite DB útvonal beállítva.</t>
  </si>
  <si>
    <t>Tartalmazza a frontend (npm) és backend (uvicorn) indítási parancsait, valamint a demó fiókok belépési adatait.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</si>
</sst>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4"/>
      <color rgb="FF0B1F3A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  <font>
      <sz val="11"/>
      <color rgb="FF1F1F1F"/>
      <name val="Arial"/>
      <family val="2"/>
      <charset val="238"/>
    </font>
    <font>
      <sz val="10"/>
      <color rgb="FF444746"/>
      <name val="Google Sans Text"/>
      <family val="2"/>
    </font>
    <font>
      <sz val="10"/>
      <name val="Arial Unicode MS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0B4EA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64" fontId="0" fillId="0" borderId="0" xfId="1" applyNumberFormat="1" applyFont="1"/>
    <xf numFmtId="0" fontId="1" fillId="2" borderId="0" xfId="1" applyFont="1" applyFill="1" applyAlignment="1">
      <alignment horizontal="left" vertical="center"/>
    </xf>
    <xf numFmtId="0" fontId="0" fillId="0" borderId="0" xfId="0"/>
    <xf numFmtId="0" fontId="0" fillId="0" borderId="0" xfId="1" applyFont="1" applyAlignment="1">
      <alignment wrapText="1"/>
    </xf>
    <xf numFmtId="0" fontId="0" fillId="0" borderId="0" xfId="0" applyAlignment="1">
      <alignment wrapText="1"/>
    </xf>
    <xf numFmtId="0" fontId="4" fillId="0" borderId="0" xfId="2" applyAlignment="1">
      <alignment vertical="top" wrapText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1" fillId="2" borderId="0" xfId="1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right" vertical="center" wrapText="1" indent="1" readingOrder="1"/>
    </xf>
    <xf numFmtId="0" fontId="6" fillId="0" borderId="1" xfId="0" applyFont="1" applyBorder="1" applyAlignment="1">
      <alignment horizontal="right" vertical="center" wrapText="1" indent="1" readingOrder="1"/>
    </xf>
    <xf numFmtId="0" fontId="7" fillId="0" borderId="0" xfId="0" applyFont="1"/>
    <xf numFmtId="0" fontId="7" fillId="0" borderId="0" xfId="0" applyFont="1" applyAlignment="1">
      <alignment horizontal="center" vertical="center" wrapText="1"/>
    </xf>
  </cellXfs>
  <cellStyles count="3">
    <cellStyle name="Hivatkozás" xfId="2" builtinId="8"/>
    <cellStyle name="Normal" xfId="1" xr:uid="{00000000-0005-0000-0000-000000000000}"/>
    <cellStyle name="Normál" xfId="0" builtinId="0"/>
  </cellStyles>
  <dxfs count="4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general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kintesTable" displayName="AttekintesTable" ref="A4:D8">
  <tableColumns count="4">
    <tableColumn id="1" xr3:uid="{00000000-0010-0000-0000-000001000000}" name="Mutató"/>
    <tableColumn id="2" xr3:uid="{00000000-0010-0000-0000-000002000000}" name="Képlet / tartalom"/>
    <tableColumn id="3" xr3:uid="{00000000-0010-0000-0000-000003000000}" name="Érték"/>
    <tableColumn id="4" xr3:uid="{00000000-0010-0000-0000-000004000000}" name="Értelmezé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VPTable" displayName="MVPTable" ref="A4:G35">
  <tableColumns count="7">
    <tableColumn id="1" xr3:uid="{00000000-0010-0000-0100-000001000000}" name="Elem"/>
    <tableColumn id="2" xr3:uid="{00000000-0010-0000-0100-000002000000}" name="Felhasználói érték" dataDxfId="37"/>
    <tableColumn id="3" xr3:uid="{00000000-0010-0000-0100-000003000000}" name="Prioritás"/>
    <tableColumn id="4" xr3:uid="{00000000-0010-0000-0100-000004000000}" name="MVP döntés"/>
    <tableColumn id="5" xr3:uid="{00000000-0010-0000-0100-000005000000}" name="Indoklás" dataDxfId="39"/>
    <tableColumn id="6" xr3:uid="{00000000-0010-0000-0100-000006000000}" name="Elfogadási jel" dataDxfId="38"/>
    <tableColumn id="7" xr3:uid="{00000000-0010-0000-0100-000007000000}" name="Kapcsolódó követelmén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rketTable" displayName="MarketTable" ref="A4:I34" dataDxfId="27">
  <tableColumns count="9">
    <tableColumn id="1" xr3:uid="{00000000-0010-0000-0200-000001000000}" name="Megoldás" dataDxfId="36"/>
    <tableColumn id="2" xr3:uid="{00000000-0010-0000-0200-000002000000}" name="Célcsoport" dataDxfId="35"/>
    <tableColumn id="3" xr3:uid="{00000000-0010-0000-0200-000003000000}" name="Fő funkciók" dataDxfId="34"/>
    <tableColumn id="4" xr3:uid="{00000000-0010-0000-0200-000004000000}" name="Erősségek" dataDxfId="33"/>
    <tableColumn id="5" xr3:uid="{00000000-0010-0000-0200-000005000000}" name="Hiányosságok" dataDxfId="32"/>
    <tableColumn id="6" xr3:uid="{00000000-0010-0000-0200-000006000000}" name="UX tanulság" dataDxfId="31"/>
    <tableColumn id="7" xr3:uid="{00000000-0010-0000-0200-000007000000}" name="Technológiai/biztonsági tanulság" dataDxfId="30"/>
    <tableColumn id="8" xr3:uid="{00000000-0010-0000-0200-000008000000}" name="Saját rendszerre következtetés" dataDxfId="29"/>
    <tableColumn id="9" xr3:uid="{00000000-0010-0000-0200-000009000000}" name="Forrás URL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quirementsTable" displayName="RequirementsTable" ref="A4:J34" dataDxfId="16">
  <tableColumns count="10">
    <tableColumn id="1" xr3:uid="{00000000-0010-0000-0300-000001000000}" name="ID" dataDxfId="26"/>
    <tableColumn id="2" xr3:uid="{00000000-0010-0000-0300-000002000000}" name="Típus" dataDxfId="25"/>
    <tableColumn id="3" xr3:uid="{00000000-0010-0000-0300-000003000000}" name="Prioritás" dataDxfId="24"/>
    <tableColumn id="4" xr3:uid="{00000000-0010-0000-0300-000004000000}" name="Követelmény" dataDxfId="23"/>
    <tableColumn id="5" xr3:uid="{00000000-0010-0000-0300-000005000000}" name="Felhasználói/üzleti érték" dataDxfId="22"/>
    <tableColumn id="6" xr3:uid="{00000000-0010-0000-0300-000006000000}" name="Elfogadási kritérium" dataDxfId="21"/>
    <tableColumn id="7" xr3:uid="{00000000-0010-0000-0300-000007000000}" name="Kapcsolódó use case" dataDxfId="20"/>
    <tableColumn id="8" xr3:uid="{00000000-0010-0000-0300-000008000000}" name="Kapcsolódó képernyő" dataDxfId="19"/>
    <tableColumn id="9" xr3:uid="{00000000-0010-0000-0300-000009000000}" name="Teszt ID" dataDxfId="18"/>
    <tableColumn id="10" xr3:uid="{00000000-0010-0000-0300-00000A000000}" name="Állapot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CaseTable" displayName="UseCaseTable" ref="A4:J33">
  <tableColumns count="10">
    <tableColumn id="1" xr3:uid="{00000000-0010-0000-0400-000001000000}" name="ID"/>
    <tableColumn id="2" xr3:uid="{00000000-0010-0000-0400-000002000000}" name="Név"/>
    <tableColumn id="3" xr3:uid="{00000000-0010-0000-0400-000003000000}" name="Aktor"/>
    <tableColumn id="4" xr3:uid="{00000000-0010-0000-0400-000004000000}" name="Cél"/>
    <tableColumn id="5" xr3:uid="{00000000-0010-0000-0400-000005000000}" name="Előfeltétel"/>
    <tableColumn id="6" xr3:uid="{00000000-0010-0000-0400-000006000000}" name="Fő sikeres lefutás"/>
    <tableColumn id="7" xr3:uid="{00000000-0010-0000-0400-000007000000}" name="Alternatívák"/>
    <tableColumn id="8" xr3:uid="{00000000-0010-0000-0400-000008000000}" name="Utófeltétel"/>
    <tableColumn id="9" xr3:uid="{00000000-0010-0000-0400-000009000000}" name="Kapcsolódó követelmények"/>
    <tableColumn id="10" xr3:uid="{00000000-0010-0000-0400-00000A000000}" name="Teszt 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UXTable" displayName="UXTable" ref="A4:J33">
  <tableColumns count="10">
    <tableColumn id="1" xr3:uid="{00000000-0010-0000-0500-000001000000}" name="Képernyő ID"/>
    <tableColumn id="2" xr3:uid="{00000000-0010-0000-0500-000002000000}" name="Név"/>
    <tableColumn id="3" xr3:uid="{00000000-0010-0000-0500-000003000000}" name="Cél"/>
    <tableColumn id="4" xr3:uid="{00000000-0010-0000-0500-000004000000}" name="Fő elemek"/>
    <tableColumn id="5" xr3:uid="{00000000-0010-0000-0500-000005000000}" name="Állapotok"/>
    <tableColumn id="6" xr3:uid="{00000000-0010-0000-0500-000006000000}" name="Hibák/üzenetek"/>
    <tableColumn id="7" xr3:uid="{00000000-0010-0000-0500-000007000000}" name="Kapcsolódó use case"/>
    <tableColumn id="8" xr3:uid="{00000000-0010-0000-0500-000008000000}" name="UX elv"/>
    <tableColumn id="9" xr3:uid="{00000000-0010-0000-0500-000009000000}" name="Akadálymentesség"/>
    <tableColumn id="10" xr3:uid="{00000000-0010-0000-0500-00000A000000}" name="Megjegyzé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DRTable" displayName="ADRTable" ref="A4:I33">
  <tableColumns count="9">
    <tableColumn id="1" xr3:uid="{00000000-0010-0000-0600-000001000000}" name="ADR ID"/>
    <tableColumn id="2" xr3:uid="{00000000-0010-0000-0600-000002000000}" name="Döntési pont"/>
    <tableColumn id="3" xr3:uid="{00000000-0010-0000-0600-000003000000}" name="Kontextus"/>
    <tableColumn id="4" xr3:uid="{00000000-0010-0000-0600-000004000000}" name="Alternatívák"/>
    <tableColumn id="5" xr3:uid="{00000000-0010-0000-0600-000005000000}" name="Értékelési szempontok"/>
    <tableColumn id="6" xr3:uid="{00000000-0010-0000-0600-000006000000}" name="Választás"/>
    <tableColumn id="7" xr3:uid="{00000000-0010-0000-0600-000007000000}" name="Indoklás"/>
    <tableColumn id="8" xr3:uid="{00000000-0010-0000-0600-000008000000}" name="Kockázat"/>
    <tableColumn id="9" xr3:uid="{00000000-0010-0000-0600-000009000000}" name="Validáció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ApiTable" displayName="DataApiTable" ref="A4:H33">
  <tableColumns count="8">
    <tableColumn id="1" xr3:uid="{00000000-0010-0000-0700-000001000000}" name="Típus"/>
    <tableColumn id="2" xr3:uid="{00000000-0010-0000-0700-000002000000}" name="Név"/>
    <tableColumn id="3" xr3:uid="{00000000-0010-0000-0700-000003000000}" name="Felelősség"/>
    <tableColumn id="4" xr3:uid="{00000000-0010-0000-0700-000004000000}" name="Mezők / interfész"/>
    <tableColumn id="5" xr3:uid="{00000000-0010-0000-0700-000005000000}" name="Kapcsolatok / függőségek"/>
    <tableColumn id="6" xr3:uid="{00000000-0010-0000-0700-000006000000}" name="Jogosultság"/>
    <tableColumn id="7" xr3:uid="{00000000-0010-0000-0700-000007000000}" name="Validáció"/>
    <tableColumn id="8" xr3:uid="{00000000-0010-0000-0700-000008000000}" name="Tesz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curityTable" displayName="SecurityTable" ref="A4:E34" dataDxfId="8">
  <tableColumns count="5">
    <tableColumn id="1" xr3:uid="{00000000-0010-0000-0800-000001000000}" name="Terület" dataDxfId="13"/>
    <tableColumn id="2" xr3:uid="{00000000-0010-0000-0800-000002000000}" name="Ellenőrzés" dataDxfId="12"/>
    <tableColumn id="3" xr3:uid="{00000000-0010-0000-0800-000003000000}" name="Bizonyíték" dataDxfId="11"/>
    <tableColumn id="4" xr3:uid="{00000000-0010-0000-0800-000004000000}" name="Eredmény" dataDxfId="10"/>
    <tableColumn id="5" xr3:uid="{00000000-0010-0000-0800-000005000000}" name="Megjegyzés / javítás" dataDxf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estsTable" displayName="TestsTable" ref="A4:I34">
  <tableColumns count="9">
    <tableColumn id="1" xr3:uid="{00000000-0010-0000-0900-000001000000}" name="Teszt ID"/>
    <tableColumn id="2" xr3:uid="{00000000-0010-0000-0900-000002000000}" name="Típus"/>
    <tableColumn id="3" xr3:uid="{00000000-0010-0000-0900-000003000000}" name="Cél"/>
    <tableColumn id="4" xr3:uid="{00000000-0010-0000-0900-000004000000}" name="Előfeltétel"/>
    <tableColumn id="5" xr3:uid="{00000000-0010-0000-0900-000005000000}" name="Lépések"/>
    <tableColumn id="6" xr3:uid="{00000000-0010-0000-0900-000006000000}" name="Várt eredmény"/>
    <tableColumn id="7" xr3:uid="{00000000-0010-0000-0900-000007000000}" name="Kapcsolódó követelmény"/>
    <tableColumn id="8" xr3:uid="{00000000-0010-0000-0900-000008000000}" name="Eredmény"/>
    <tableColumn id="9" xr3:uid="{00000000-0010-0000-0900-000009000000}" name="Megjegyzé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raceTable" displayName="TraceTable" ref="A4:H34">
  <tableColumns count="8">
    <tableColumn id="1" xr3:uid="{00000000-0010-0000-0A00-000001000000}" name="Követelmény ID"/>
    <tableColumn id="2" xr3:uid="{00000000-0010-0000-0A00-000002000000}" name="Use case ID"/>
    <tableColumn id="3" xr3:uid="{00000000-0010-0000-0A00-000003000000}" name="Képernyő ID"/>
    <tableColumn id="4" xr3:uid="{00000000-0010-0000-0A00-000004000000}" name="ADR / döntés"/>
    <tableColumn id="5" xr3:uid="{00000000-0010-0000-0A00-000005000000}" name="Kódrészlet / modul"/>
    <tableColumn id="6" xr3:uid="{00000000-0010-0000-0A00-000006000000}" name="Teszt ID"/>
    <tableColumn id="7" xr3:uid="{00000000-0010-0000-0A00-000007000000}" name="Bizonyíték státusz"/>
    <tableColumn id="8" xr3:uid="{00000000-0010-0000-0A00-000008000000}" name="Megjegyzé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ILogTable" displayName="AILogTable" ref="A4:I34">
  <tableColumns count="9">
    <tableColumn id="1" xr3:uid="{00000000-0010-0000-0B00-000001000000}" name="Dátum"/>
    <tableColumn id="2" xr3:uid="{00000000-0010-0000-0B00-000002000000}" name="Eszköz / modell"/>
    <tableColumn id="3" xr3:uid="{00000000-0010-0000-0B00-000003000000}" name="Feladat"/>
    <tableColumn id="4" xr3:uid="{00000000-0010-0000-0B00-000004000000}" name="Prompt rövid leírása"/>
    <tableColumn id="5" xr3:uid="{00000000-0010-0000-0B00-000005000000}" name="Kapott eredmény"/>
    <tableColumn id="6" xr3:uid="{00000000-0010-0000-0B00-000006000000}" name="Ellenőrzés módja"/>
    <tableColumn id="7" xr3:uid="{00000000-0010-0000-0B00-000007000000}" name="Beépült?"/>
    <tableColumn id="8" xr3:uid="{00000000-0010-0000-0B00-000008000000}" name="Saját módosítás"/>
    <tableColumn id="9" xr3:uid="{00000000-0010-0000-0B00-000009000000}" name="Megjegyzé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eproTable" displayName="ReproTable" ref="A4:E34" headerRowDxfId="7" dataDxfId="0" totalsRowDxfId="6">
  <tableColumns count="5">
    <tableColumn id="1" xr3:uid="{00000000-0010-0000-0C00-000001000000}" name="Elem" dataDxfId="5"/>
    <tableColumn id="2" xr3:uid="{00000000-0010-0000-0C00-000002000000}" name="Elvárt tartalom" dataDxfId="4"/>
    <tableColumn id="3" xr3:uid="{00000000-0010-0000-0C00-000003000000}" name="Bizonyíték / link" dataDxfId="3"/>
    <tableColumn id="4" xr3:uid="{00000000-0010-0000-0C00-000004000000}" name="Állapot" dataDxfId="2"/>
    <tableColumn id="5" xr3:uid="{00000000-0010-0000-0C00-000005000000}" name="Megjegyzé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trainerize.com/" TargetMode="External"/><Relationship Id="rId1" Type="http://schemas.openxmlformats.org/officeDocument/2006/relationships/hyperlink" Target="https://truecoach.c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sqref="A1:H1"/>
    </sheetView>
  </sheetViews>
  <sheetFormatPr defaultRowHeight="14.25"/>
  <cols>
    <col min="1" max="1" width="26" customWidth="1"/>
    <col min="2" max="2" width="32" customWidth="1"/>
    <col min="3" max="3" width="12" customWidth="1"/>
    <col min="4" max="4" width="42" customWidth="1"/>
  </cols>
  <sheetData>
    <row r="1" spans="1:8" ht="18">
      <c r="A1" s="6" t="s">
        <v>0</v>
      </c>
      <c r="B1" s="7"/>
      <c r="C1" s="7"/>
      <c r="D1" s="7"/>
      <c r="E1" s="7"/>
      <c r="F1" s="7"/>
      <c r="G1" s="7"/>
      <c r="H1" s="7"/>
    </row>
    <row r="2" spans="1:8" ht="48" customHeight="1">
      <c r="A2" s="8" t="s">
        <v>1</v>
      </c>
      <c r="B2" s="7"/>
      <c r="C2" s="7"/>
      <c r="D2" s="7"/>
      <c r="E2" s="7"/>
      <c r="F2" s="7"/>
      <c r="G2" s="7"/>
      <c r="H2" s="7"/>
    </row>
    <row r="4" spans="1:8" ht="15">
      <c r="A4" s="2" t="s">
        <v>2</v>
      </c>
      <c r="B4" s="2" t="s">
        <v>3</v>
      </c>
      <c r="C4" s="2" t="s">
        <v>4</v>
      </c>
      <c r="D4" s="2" t="s">
        <v>5</v>
      </c>
    </row>
    <row r="5" spans="1:8">
      <c r="A5" s="1" t="s">
        <v>6</v>
      </c>
      <c r="B5" s="1" t="s">
        <v>7</v>
      </c>
      <c r="C5" s="1">
        <f>COUNTIF('03_Kovetelmenyek'!C5:C200,"Must")</f>
        <v>7</v>
      </c>
      <c r="D5" s="1" t="s">
        <v>8</v>
      </c>
    </row>
    <row r="6" spans="1:8">
      <c r="A6" s="1" t="s">
        <v>9</v>
      </c>
      <c r="B6" s="1" t="s">
        <v>10</v>
      </c>
      <c r="C6" s="1">
        <f>COUNTIF('09_Tesztek'!H5:H200,"sikeres")</f>
        <v>11</v>
      </c>
      <c r="D6" s="1" t="s">
        <v>11</v>
      </c>
    </row>
    <row r="7" spans="1:8">
      <c r="A7" s="1" t="s">
        <v>12</v>
      </c>
      <c r="B7" s="1" t="s">
        <v>13</v>
      </c>
      <c r="C7" s="1">
        <f>COUNTIF('08_Biztonsag'!D5:D200,"javítandó")</f>
        <v>0</v>
      </c>
      <c r="D7" s="1" t="s">
        <v>14</v>
      </c>
    </row>
    <row r="8" spans="1:8">
      <c r="A8" s="1" t="s">
        <v>15</v>
      </c>
      <c r="B8" s="1" t="s">
        <v>16</v>
      </c>
      <c r="C8" s="1">
        <f>COUNTIF('11_MI_naplo'!A5:A200,"&gt;0")</f>
        <v>0</v>
      </c>
      <c r="D8" s="1" t="s">
        <v>17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opLeftCell="A2" workbookViewId="0">
      <selection activeCell="F26" sqref="F26"/>
    </sheetView>
  </sheetViews>
  <sheetFormatPr defaultRowHeight="14.25"/>
  <cols>
    <col min="1" max="1" width="22" customWidth="1"/>
    <col min="2" max="2" width="28" style="9" customWidth="1"/>
    <col min="3" max="3" width="12" customWidth="1"/>
    <col min="4" max="4" width="16" customWidth="1"/>
    <col min="5" max="5" width="32" customWidth="1"/>
    <col min="6" max="6" width="28" style="9" customWidth="1"/>
    <col min="7" max="7" width="18" customWidth="1"/>
  </cols>
  <sheetData>
    <row r="1" spans="1:7" ht="18">
      <c r="A1" s="6" t="s">
        <v>18</v>
      </c>
      <c r="B1" s="7"/>
      <c r="C1" s="7"/>
      <c r="D1" s="7"/>
      <c r="E1" s="7"/>
      <c r="F1" s="7"/>
      <c r="G1" s="7"/>
    </row>
    <row r="2" spans="1:7" ht="42" customHeight="1">
      <c r="A2" s="8" t="s">
        <v>19</v>
      </c>
      <c r="B2" s="7"/>
      <c r="C2" s="7"/>
      <c r="D2" s="7"/>
      <c r="E2" s="7"/>
      <c r="F2" s="7"/>
      <c r="G2" s="7"/>
    </row>
    <row r="4" spans="1:7" ht="3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42.75">
      <c r="A5" s="3" t="s">
        <v>168</v>
      </c>
      <c r="B5" s="9" t="s">
        <v>177</v>
      </c>
      <c r="C5" s="3" t="s">
        <v>27</v>
      </c>
      <c r="D5" s="3" t="s">
        <v>28</v>
      </c>
      <c r="E5" s="3" t="s">
        <v>191</v>
      </c>
      <c r="F5" s="3" t="s">
        <v>201</v>
      </c>
      <c r="G5" s="3" t="s">
        <v>29</v>
      </c>
    </row>
    <row r="6" spans="1:7" ht="42.75">
      <c r="A6" s="3" t="s">
        <v>169</v>
      </c>
      <c r="B6" s="3" t="s">
        <v>179</v>
      </c>
      <c r="C6" s="3" t="s">
        <v>27</v>
      </c>
      <c r="D6" s="3" t="s">
        <v>28</v>
      </c>
      <c r="E6" s="3" t="s">
        <v>192</v>
      </c>
      <c r="F6" s="3" t="s">
        <v>202</v>
      </c>
      <c r="G6" s="3" t="s">
        <v>30</v>
      </c>
    </row>
    <row r="7" spans="1:7" ht="42.75">
      <c r="A7" s="3" t="s">
        <v>170</v>
      </c>
      <c r="B7" s="3" t="s">
        <v>178</v>
      </c>
      <c r="C7" s="3" t="s">
        <v>27</v>
      </c>
      <c r="D7" s="3" t="s">
        <v>28</v>
      </c>
      <c r="E7" s="3" t="s">
        <v>193</v>
      </c>
      <c r="F7" s="3" t="s">
        <v>203</v>
      </c>
      <c r="G7" s="3" t="s">
        <v>194</v>
      </c>
    </row>
    <row r="8" spans="1:7" ht="42.75">
      <c r="A8" s="3" t="s">
        <v>171</v>
      </c>
      <c r="B8" s="3" t="s">
        <v>180</v>
      </c>
      <c r="C8" s="3" t="s">
        <v>27</v>
      </c>
      <c r="D8" s="3" t="s">
        <v>28</v>
      </c>
      <c r="E8" s="9" t="s">
        <v>204</v>
      </c>
      <c r="F8" s="9" t="s">
        <v>205</v>
      </c>
      <c r="G8" s="3" t="s">
        <v>195</v>
      </c>
    </row>
    <row r="9" spans="1:7" ht="42.75">
      <c r="A9" s="3" t="s">
        <v>172</v>
      </c>
      <c r="B9" s="9" t="s">
        <v>181</v>
      </c>
      <c r="C9" s="3" t="s">
        <v>27</v>
      </c>
      <c r="D9" s="3" t="s">
        <v>28</v>
      </c>
      <c r="E9" s="9" t="s">
        <v>206</v>
      </c>
      <c r="F9" s="9" t="s">
        <v>207</v>
      </c>
      <c r="G9" s="3" t="s">
        <v>196</v>
      </c>
    </row>
    <row r="10" spans="1:7" ht="57">
      <c r="A10" s="3" t="s">
        <v>173</v>
      </c>
      <c r="B10" s="9" t="s">
        <v>182</v>
      </c>
      <c r="C10" s="3" t="s">
        <v>27</v>
      </c>
      <c r="D10" s="3" t="s">
        <v>28</v>
      </c>
      <c r="E10" s="9" t="s">
        <v>208</v>
      </c>
      <c r="F10" s="9" t="s">
        <v>209</v>
      </c>
      <c r="G10" s="3" t="s">
        <v>33</v>
      </c>
    </row>
    <row r="11" spans="1:7" ht="42.75">
      <c r="A11" s="3" t="s">
        <v>183</v>
      </c>
      <c r="B11" s="9" t="s">
        <v>184</v>
      </c>
      <c r="C11" s="3" t="s">
        <v>31</v>
      </c>
      <c r="D11" s="3" t="s">
        <v>28</v>
      </c>
      <c r="E11" s="9" t="s">
        <v>210</v>
      </c>
      <c r="F11" s="9" t="s">
        <v>211</v>
      </c>
      <c r="G11" s="3" t="s">
        <v>197</v>
      </c>
    </row>
    <row r="12" spans="1:7" ht="42.75">
      <c r="A12" s="3" t="s">
        <v>174</v>
      </c>
      <c r="B12" s="9" t="s">
        <v>185</v>
      </c>
      <c r="C12" s="3" t="s">
        <v>31</v>
      </c>
      <c r="D12" s="3" t="s">
        <v>28</v>
      </c>
      <c r="E12" s="9" t="s">
        <v>212</v>
      </c>
      <c r="F12" s="9" t="s">
        <v>213</v>
      </c>
      <c r="G12" s="3" t="s">
        <v>198</v>
      </c>
    </row>
    <row r="13" spans="1:7" ht="42.75">
      <c r="A13" s="3" t="s">
        <v>175</v>
      </c>
      <c r="B13" s="9" t="s">
        <v>186</v>
      </c>
      <c r="C13" s="3" t="s">
        <v>188</v>
      </c>
      <c r="D13" s="3" t="s">
        <v>32</v>
      </c>
      <c r="E13" s="9" t="s">
        <v>214</v>
      </c>
      <c r="F13" s="9" t="s">
        <v>215</v>
      </c>
      <c r="G13" s="3" t="s">
        <v>199</v>
      </c>
    </row>
    <row r="14" spans="1:7" ht="42.75">
      <c r="A14" s="3" t="s">
        <v>176</v>
      </c>
      <c r="B14" s="9" t="s">
        <v>187</v>
      </c>
      <c r="C14" s="3" t="s">
        <v>189</v>
      </c>
      <c r="D14" s="3" t="s">
        <v>190</v>
      </c>
      <c r="E14" s="9" t="s">
        <v>216</v>
      </c>
      <c r="F14" s="3" t="s">
        <v>200</v>
      </c>
      <c r="G14" s="3" t="s">
        <v>200</v>
      </c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</sheetData>
  <mergeCells count="2">
    <mergeCell ref="A1:G1"/>
    <mergeCell ref="A2:G2"/>
  </mergeCells>
  <dataValidations count="2">
    <dataValidation type="list" sqref="C5:C35" xr:uid="{00000000-0002-0000-0100-000000000000}">
      <formula1>"Must,Should,Could,Won't"</formula1>
    </dataValidation>
    <dataValidation type="list" sqref="D5:D35" xr:uid="{00000000-0002-0000-0100-000001000000}">
      <formula1>"benne van,prototípus,nem cél,későbbi bővítés"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topLeftCell="A2" workbookViewId="0">
      <selection activeCell="G15" sqref="G15"/>
    </sheetView>
  </sheetViews>
  <sheetFormatPr defaultRowHeight="14.25"/>
  <cols>
    <col min="1" max="2" width="18" customWidth="1"/>
    <col min="3" max="3" width="28" customWidth="1"/>
    <col min="4" max="5" width="24" customWidth="1"/>
    <col min="6" max="6" width="26" customWidth="1"/>
    <col min="7" max="7" width="32" customWidth="1"/>
    <col min="8" max="8" width="34" customWidth="1"/>
    <col min="9" max="9" width="28" customWidth="1"/>
  </cols>
  <sheetData>
    <row r="1" spans="1:9" ht="18">
      <c r="A1" s="6" t="s">
        <v>34</v>
      </c>
      <c r="B1" s="7"/>
      <c r="C1" s="7"/>
      <c r="D1" s="7"/>
      <c r="E1" s="7"/>
      <c r="F1" s="7"/>
      <c r="G1" s="7"/>
      <c r="H1" s="7"/>
      <c r="I1" s="7"/>
    </row>
    <row r="2" spans="1:9" ht="42" customHeight="1">
      <c r="A2" s="8" t="s">
        <v>35</v>
      </c>
      <c r="B2" s="7"/>
      <c r="C2" s="7"/>
      <c r="D2" s="7"/>
      <c r="E2" s="7"/>
      <c r="F2" s="7"/>
      <c r="G2" s="7"/>
      <c r="H2" s="7"/>
      <c r="I2" s="7"/>
    </row>
    <row r="4" spans="1:9" ht="1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</row>
    <row r="5" spans="1:9" ht="42.75">
      <c r="A5" s="3" t="s">
        <v>217</v>
      </c>
      <c r="B5" s="3" t="s">
        <v>220</v>
      </c>
      <c r="C5" s="9" t="s">
        <v>223</v>
      </c>
      <c r="D5" s="3" t="s">
        <v>226</v>
      </c>
      <c r="E5" s="3" t="s">
        <v>229</v>
      </c>
      <c r="F5" s="3" t="s">
        <v>232</v>
      </c>
      <c r="G5" s="3" t="s">
        <v>235</v>
      </c>
      <c r="H5" s="3" t="s">
        <v>238</v>
      </c>
      <c r="I5" s="10" t="s">
        <v>241</v>
      </c>
    </row>
    <row r="6" spans="1:9" ht="42.75">
      <c r="A6" s="3" t="s">
        <v>218</v>
      </c>
      <c r="B6" s="3" t="s">
        <v>221</v>
      </c>
      <c r="C6" s="3" t="s">
        <v>224</v>
      </c>
      <c r="D6" s="3" t="s">
        <v>227</v>
      </c>
      <c r="E6" s="3" t="s">
        <v>230</v>
      </c>
      <c r="F6" s="3" t="s">
        <v>233</v>
      </c>
      <c r="G6" s="3" t="s">
        <v>236</v>
      </c>
      <c r="H6" s="3" t="s">
        <v>239</v>
      </c>
      <c r="I6" s="10" t="s">
        <v>242</v>
      </c>
    </row>
    <row r="7" spans="1:9" ht="42.75">
      <c r="A7" s="3" t="s">
        <v>219</v>
      </c>
      <c r="B7" s="9" t="s">
        <v>222</v>
      </c>
      <c r="C7" s="9" t="s">
        <v>225</v>
      </c>
      <c r="D7" s="9" t="s">
        <v>228</v>
      </c>
      <c r="E7" s="9" t="s">
        <v>231</v>
      </c>
      <c r="F7" s="9" t="s">
        <v>234</v>
      </c>
      <c r="G7" s="9" t="s">
        <v>237</v>
      </c>
      <c r="H7" s="9" t="s">
        <v>240</v>
      </c>
      <c r="I7" s="3" t="s">
        <v>243</v>
      </c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</sheetData>
  <mergeCells count="2">
    <mergeCell ref="A1:I1"/>
    <mergeCell ref="A2:I2"/>
  </mergeCells>
  <hyperlinks>
    <hyperlink ref="I5" r:id="rId1" xr:uid="{EC7F2CB4-CFCA-4A29-ADD6-5A7C60B1142E}"/>
    <hyperlink ref="I6" r:id="rId2" xr:uid="{D8F6263B-01D8-411C-9090-01295402FFD6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B15" sqref="B15"/>
    </sheetView>
  </sheetViews>
  <sheetFormatPr defaultRowHeight="14.25"/>
  <cols>
    <col min="1" max="1" width="10" customWidth="1"/>
    <col min="2" max="2" width="18" customWidth="1"/>
    <col min="3" max="3" width="12" customWidth="1"/>
    <col min="4" max="4" width="42" customWidth="1"/>
    <col min="5" max="5" width="28" customWidth="1"/>
    <col min="6" max="6" width="40" customWidth="1"/>
    <col min="7" max="8" width="16" customWidth="1"/>
    <col min="9" max="9" width="18" customWidth="1"/>
    <col min="10" max="10" width="14" customWidth="1"/>
  </cols>
  <sheetData>
    <row r="1" spans="1:10">
      <c r="A1" s="14" t="s">
        <v>45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42" customHeight="1">
      <c r="A2" s="8" t="s">
        <v>46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30">
      <c r="A4" s="2" t="s">
        <v>47</v>
      </c>
      <c r="B4" s="2" t="s">
        <v>48</v>
      </c>
      <c r="C4" s="2" t="s">
        <v>22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</row>
    <row r="5" spans="1:10" ht="42.75">
      <c r="A5" s="16" t="s">
        <v>29</v>
      </c>
      <c r="B5" s="16" t="s">
        <v>56</v>
      </c>
      <c r="C5" s="16" t="s">
        <v>27</v>
      </c>
      <c r="D5" s="16" t="s">
        <v>247</v>
      </c>
      <c r="E5" s="16" t="s">
        <v>258</v>
      </c>
      <c r="F5" s="16" t="s">
        <v>269</v>
      </c>
      <c r="G5" s="16" t="s">
        <v>58</v>
      </c>
      <c r="H5" s="16" t="s">
        <v>59</v>
      </c>
      <c r="I5" s="16" t="s">
        <v>60</v>
      </c>
      <c r="J5" s="16" t="s">
        <v>61</v>
      </c>
    </row>
    <row r="6" spans="1:10" ht="28.5">
      <c r="A6" s="16" t="s">
        <v>30</v>
      </c>
      <c r="B6" s="16" t="s">
        <v>56</v>
      </c>
      <c r="C6" s="16" t="s">
        <v>27</v>
      </c>
      <c r="D6" s="16" t="s">
        <v>248</v>
      </c>
      <c r="E6" s="16" t="s">
        <v>259</v>
      </c>
      <c r="F6" s="16" t="s">
        <v>270</v>
      </c>
      <c r="G6" s="16" t="s">
        <v>66</v>
      </c>
      <c r="H6" s="16" t="s">
        <v>287</v>
      </c>
      <c r="I6" s="16" t="s">
        <v>296</v>
      </c>
      <c r="J6" s="16" t="s">
        <v>61</v>
      </c>
    </row>
    <row r="7" spans="1:10" ht="42.75">
      <c r="A7" s="16" t="s">
        <v>194</v>
      </c>
      <c r="B7" s="16" t="s">
        <v>56</v>
      </c>
      <c r="C7" s="16" t="s">
        <v>27</v>
      </c>
      <c r="D7" s="16" t="s">
        <v>249</v>
      </c>
      <c r="E7" s="16" t="s">
        <v>260</v>
      </c>
      <c r="F7" s="16" t="s">
        <v>271</v>
      </c>
      <c r="G7" s="16" t="s">
        <v>62</v>
      </c>
      <c r="H7" s="16" t="s">
        <v>288</v>
      </c>
      <c r="I7" s="16" t="s">
        <v>297</v>
      </c>
      <c r="J7" s="16" t="s">
        <v>61</v>
      </c>
    </row>
    <row r="8" spans="1:10" ht="28.5">
      <c r="A8" s="16" t="s">
        <v>195</v>
      </c>
      <c r="B8" s="16" t="s">
        <v>56</v>
      </c>
      <c r="C8" s="16" t="s">
        <v>27</v>
      </c>
      <c r="D8" s="17" t="s">
        <v>250</v>
      </c>
      <c r="E8" s="17" t="s">
        <v>261</v>
      </c>
      <c r="F8" s="17" t="s">
        <v>272</v>
      </c>
      <c r="G8" s="16" t="s">
        <v>280</v>
      </c>
      <c r="H8" s="17" t="s">
        <v>289</v>
      </c>
      <c r="I8" s="16" t="s">
        <v>298</v>
      </c>
      <c r="J8" s="16" t="s">
        <v>61</v>
      </c>
    </row>
    <row r="9" spans="1:10" ht="42.75">
      <c r="A9" s="16" t="s">
        <v>196</v>
      </c>
      <c r="B9" s="16" t="s">
        <v>56</v>
      </c>
      <c r="C9" s="16" t="s">
        <v>27</v>
      </c>
      <c r="D9" s="17" t="s">
        <v>251</v>
      </c>
      <c r="E9" s="17" t="s">
        <v>262</v>
      </c>
      <c r="F9" s="17" t="s">
        <v>273</v>
      </c>
      <c r="G9" s="16" t="s">
        <v>281</v>
      </c>
      <c r="H9" s="17" t="s">
        <v>290</v>
      </c>
      <c r="I9" s="16" t="s">
        <v>299</v>
      </c>
      <c r="J9" s="16" t="s">
        <v>61</v>
      </c>
    </row>
    <row r="10" spans="1:10" ht="42.75">
      <c r="A10" s="16" t="s">
        <v>198</v>
      </c>
      <c r="B10" s="16" t="s">
        <v>56</v>
      </c>
      <c r="C10" s="16" t="s">
        <v>31</v>
      </c>
      <c r="D10" s="17" t="s">
        <v>252</v>
      </c>
      <c r="E10" s="17" t="s">
        <v>263</v>
      </c>
      <c r="F10" s="17" t="s">
        <v>274</v>
      </c>
      <c r="G10" s="16" t="s">
        <v>282</v>
      </c>
      <c r="H10" s="17" t="s">
        <v>291</v>
      </c>
      <c r="I10" s="16" t="s">
        <v>300</v>
      </c>
      <c r="J10" s="16" t="s">
        <v>61</v>
      </c>
    </row>
    <row r="11" spans="1:10" ht="42.75">
      <c r="A11" s="16" t="s">
        <v>199</v>
      </c>
      <c r="B11" s="16" t="s">
        <v>56</v>
      </c>
      <c r="C11" s="16" t="s">
        <v>31</v>
      </c>
      <c r="D11" s="17" t="s">
        <v>253</v>
      </c>
      <c r="E11" s="17" t="s">
        <v>264</v>
      </c>
      <c r="F11" s="16" t="s">
        <v>275</v>
      </c>
      <c r="G11" s="16" t="s">
        <v>283</v>
      </c>
      <c r="H11" s="17" t="s">
        <v>292</v>
      </c>
      <c r="I11" s="16" t="s">
        <v>301</v>
      </c>
      <c r="J11" s="16" t="s">
        <v>61</v>
      </c>
    </row>
    <row r="12" spans="1:10" ht="42.75">
      <c r="A12" s="16" t="s">
        <v>244</v>
      </c>
      <c r="B12" s="16" t="s">
        <v>56</v>
      </c>
      <c r="C12" s="16" t="s">
        <v>188</v>
      </c>
      <c r="D12" s="17" t="s">
        <v>254</v>
      </c>
      <c r="E12" s="17" t="s">
        <v>265</v>
      </c>
      <c r="F12" s="17" t="s">
        <v>276</v>
      </c>
      <c r="G12" s="16" t="s">
        <v>284</v>
      </c>
      <c r="H12" s="17" t="s">
        <v>293</v>
      </c>
      <c r="I12" s="16" t="s">
        <v>302</v>
      </c>
      <c r="J12" s="16" t="s">
        <v>61</v>
      </c>
    </row>
    <row r="13" spans="1:10" ht="42.75">
      <c r="A13" s="16" t="s">
        <v>64</v>
      </c>
      <c r="B13" s="16" t="s">
        <v>65</v>
      </c>
      <c r="C13" s="16" t="s">
        <v>27</v>
      </c>
      <c r="D13" s="17" t="s">
        <v>255</v>
      </c>
      <c r="E13" s="17" t="s">
        <v>266</v>
      </c>
      <c r="F13" s="17" t="s">
        <v>277</v>
      </c>
      <c r="G13" s="16" t="s">
        <v>285</v>
      </c>
      <c r="H13" s="17" t="s">
        <v>294</v>
      </c>
      <c r="I13" s="16" t="s">
        <v>135</v>
      </c>
      <c r="J13" s="16" t="s">
        <v>61</v>
      </c>
    </row>
    <row r="14" spans="1:10" ht="42.75">
      <c r="A14" s="16" t="s">
        <v>245</v>
      </c>
      <c r="B14" s="16" t="s">
        <v>65</v>
      </c>
      <c r="C14" s="16" t="s">
        <v>27</v>
      </c>
      <c r="D14" s="17" t="s">
        <v>256</v>
      </c>
      <c r="E14" s="17" t="s">
        <v>267</v>
      </c>
      <c r="F14" s="17" t="s">
        <v>278</v>
      </c>
      <c r="G14" s="16" t="s">
        <v>286</v>
      </c>
      <c r="H14" s="17" t="s">
        <v>290</v>
      </c>
      <c r="I14" s="16" t="s">
        <v>303</v>
      </c>
      <c r="J14" s="16" t="s">
        <v>61</v>
      </c>
    </row>
    <row r="15" spans="1:10" ht="42.75">
      <c r="A15" s="16" t="s">
        <v>246</v>
      </c>
      <c r="B15" s="16" t="s">
        <v>65</v>
      </c>
      <c r="C15" s="16" t="s">
        <v>31</v>
      </c>
      <c r="D15" s="17" t="s">
        <v>257</v>
      </c>
      <c r="E15" s="17" t="s">
        <v>268</v>
      </c>
      <c r="F15" s="17" t="s">
        <v>279</v>
      </c>
      <c r="G15" s="16" t="s">
        <v>285</v>
      </c>
      <c r="H15" s="17" t="s">
        <v>295</v>
      </c>
      <c r="I15" s="16" t="s">
        <v>67</v>
      </c>
      <c r="J15" s="16" t="s">
        <v>68</v>
      </c>
    </row>
    <row r="16" spans="1:10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spans="1:10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spans="1:10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spans="1:10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spans="1:10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 spans="1:10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spans="1:10">
      <c r="A34" s="16"/>
      <c r="B34" s="16"/>
      <c r="C34" s="16"/>
      <c r="D34" s="16"/>
      <c r="E34" s="16"/>
      <c r="F34" s="16"/>
      <c r="G34" s="16"/>
      <c r="H34" s="16"/>
      <c r="I34" s="16"/>
      <c r="J34" s="16"/>
    </row>
  </sheetData>
  <mergeCells count="2">
    <mergeCell ref="A1:J1"/>
    <mergeCell ref="A2:J2"/>
  </mergeCells>
  <dataValidations count="3">
    <dataValidation type="list" sqref="B5:B34" xr:uid="{00000000-0002-0000-0300-000000000000}">
      <formula1>"funkcionális,nem funkcionális"</formula1>
    </dataValidation>
    <dataValidation type="list" sqref="C5:C34" xr:uid="{00000000-0002-0000-0300-000001000000}">
      <formula1>"Must,Should,Could,Won't"</formula1>
    </dataValidation>
    <dataValidation type="list" sqref="J5:J34" xr:uid="{00000000-0002-0000-0300-000002000000}">
      <formula1>"terv,folyamatban,kész,javítandó"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zoomScaleNormal="100" workbookViewId="0">
      <selection activeCell="D13" sqref="D13"/>
    </sheetView>
  </sheetViews>
  <sheetFormatPr defaultRowHeight="14.25"/>
  <cols>
    <col min="1" max="1" width="10" customWidth="1"/>
    <col min="2" max="2" width="22" customWidth="1"/>
    <col min="3" max="3" width="20" customWidth="1"/>
    <col min="4" max="4" width="28" customWidth="1"/>
    <col min="5" max="5" width="26" customWidth="1"/>
    <col min="6" max="6" width="48" customWidth="1"/>
    <col min="7" max="7" width="36" customWidth="1"/>
    <col min="8" max="8" width="26" customWidth="1"/>
    <col min="9" max="9" width="24" customWidth="1"/>
    <col min="10" max="10" width="18" customWidth="1"/>
  </cols>
  <sheetData>
    <row r="1" spans="1:10" ht="18">
      <c r="A1" s="6" t="s">
        <v>69</v>
      </c>
      <c r="B1" s="7"/>
      <c r="C1" s="7"/>
      <c r="D1" s="7"/>
      <c r="E1" s="7"/>
      <c r="F1" s="7"/>
      <c r="G1" s="7"/>
      <c r="H1" s="7"/>
      <c r="I1" s="7"/>
      <c r="J1" s="7"/>
    </row>
    <row r="2" spans="1:10" ht="42" customHeight="1">
      <c r="A2" s="8" t="s">
        <v>70</v>
      </c>
      <c r="B2" s="7"/>
      <c r="C2" s="7"/>
      <c r="D2" s="7"/>
      <c r="E2" s="7"/>
      <c r="F2" s="7"/>
      <c r="G2" s="7"/>
      <c r="H2" s="7"/>
      <c r="I2" s="7"/>
      <c r="J2" s="7"/>
    </row>
    <row r="4" spans="1:10" ht="30">
      <c r="A4" s="2" t="s">
        <v>47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54</v>
      </c>
    </row>
    <row r="5" spans="1:10" ht="28.5">
      <c r="A5" s="11" t="s">
        <v>58</v>
      </c>
      <c r="B5" s="11" t="s">
        <v>79</v>
      </c>
      <c r="C5" s="11" t="s">
        <v>80</v>
      </c>
      <c r="D5" s="11" t="s">
        <v>57</v>
      </c>
      <c r="E5" s="11" t="s">
        <v>81</v>
      </c>
      <c r="F5" s="11" t="s">
        <v>304</v>
      </c>
      <c r="G5" s="11" t="s">
        <v>305</v>
      </c>
      <c r="H5" s="11" t="s">
        <v>306</v>
      </c>
      <c r="I5" s="11" t="s">
        <v>307</v>
      </c>
      <c r="J5" s="12" t="s">
        <v>60</v>
      </c>
    </row>
    <row r="6" spans="1:10" ht="42.75">
      <c r="A6" s="11" t="s">
        <v>66</v>
      </c>
      <c r="B6" s="11" t="s">
        <v>308</v>
      </c>
      <c r="C6" s="11" t="s">
        <v>309</v>
      </c>
      <c r="D6" s="11" t="s">
        <v>310</v>
      </c>
      <c r="E6" s="11" t="s">
        <v>311</v>
      </c>
      <c r="F6" s="11" t="s">
        <v>312</v>
      </c>
      <c r="G6" s="11" t="s">
        <v>313</v>
      </c>
      <c r="H6" s="11" t="s">
        <v>314</v>
      </c>
      <c r="I6" s="11" t="s">
        <v>30</v>
      </c>
      <c r="J6" s="12" t="s">
        <v>296</v>
      </c>
    </row>
    <row r="7" spans="1:10" ht="28.5">
      <c r="A7" s="11" t="s">
        <v>62</v>
      </c>
      <c r="B7" s="11" t="s">
        <v>315</v>
      </c>
      <c r="C7" s="11" t="s">
        <v>316</v>
      </c>
      <c r="D7" s="11" t="s">
        <v>317</v>
      </c>
      <c r="E7" s="11" t="s">
        <v>318</v>
      </c>
      <c r="F7" s="11" t="s">
        <v>319</v>
      </c>
      <c r="G7" s="11" t="s">
        <v>320</v>
      </c>
      <c r="H7" s="11" t="s">
        <v>321</v>
      </c>
      <c r="I7" s="11" t="s">
        <v>194</v>
      </c>
      <c r="J7" s="12" t="s">
        <v>297</v>
      </c>
    </row>
    <row r="8" spans="1:10" ht="42.75">
      <c r="A8" s="11" t="s">
        <v>280</v>
      </c>
      <c r="B8" s="11" t="s">
        <v>322</v>
      </c>
      <c r="C8" s="11" t="s">
        <v>309</v>
      </c>
      <c r="D8" s="11" t="s">
        <v>323</v>
      </c>
      <c r="E8" s="11" t="s">
        <v>324</v>
      </c>
      <c r="F8" s="11" t="s">
        <v>325</v>
      </c>
      <c r="G8" s="11" t="s">
        <v>326</v>
      </c>
      <c r="H8" s="13" t="s">
        <v>327</v>
      </c>
      <c r="I8" s="11" t="s">
        <v>195</v>
      </c>
      <c r="J8" s="12" t="s">
        <v>298</v>
      </c>
    </row>
    <row r="9" spans="1:10" ht="42.75">
      <c r="A9" s="11" t="s">
        <v>281</v>
      </c>
      <c r="B9" s="11" t="s">
        <v>328</v>
      </c>
      <c r="C9" s="11" t="s">
        <v>329</v>
      </c>
      <c r="D9" s="11" t="s">
        <v>330</v>
      </c>
      <c r="E9" s="11" t="s">
        <v>331</v>
      </c>
      <c r="F9" s="11" t="s">
        <v>332</v>
      </c>
      <c r="G9" s="11" t="s">
        <v>333</v>
      </c>
      <c r="H9" s="11" t="s">
        <v>334</v>
      </c>
      <c r="I9" s="11" t="s">
        <v>335</v>
      </c>
      <c r="J9" s="12" t="s">
        <v>299</v>
      </c>
    </row>
    <row r="10" spans="1:10" ht="42.75">
      <c r="A10" s="11" t="s">
        <v>282</v>
      </c>
      <c r="B10" s="11" t="s">
        <v>336</v>
      </c>
      <c r="C10" s="11" t="s">
        <v>329</v>
      </c>
      <c r="D10" s="11" t="s">
        <v>337</v>
      </c>
      <c r="E10" s="11" t="s">
        <v>338</v>
      </c>
      <c r="F10" s="11" t="s">
        <v>339</v>
      </c>
      <c r="G10" s="11" t="s">
        <v>340</v>
      </c>
      <c r="H10" s="11" t="s">
        <v>341</v>
      </c>
      <c r="I10" s="11" t="s">
        <v>342</v>
      </c>
      <c r="J10" s="12" t="s">
        <v>300</v>
      </c>
    </row>
    <row r="11" spans="1:10" ht="42.75">
      <c r="A11" s="11" t="s">
        <v>283</v>
      </c>
      <c r="B11" s="11" t="s">
        <v>343</v>
      </c>
      <c r="C11" s="11" t="s">
        <v>309</v>
      </c>
      <c r="D11" s="11" t="s">
        <v>344</v>
      </c>
      <c r="E11" s="11" t="s">
        <v>324</v>
      </c>
      <c r="F11" s="11" t="s">
        <v>345</v>
      </c>
      <c r="G11" s="11" t="s">
        <v>346</v>
      </c>
      <c r="H11" s="11" t="s">
        <v>347</v>
      </c>
      <c r="I11" s="11" t="s">
        <v>199</v>
      </c>
      <c r="J11" s="12" t="s">
        <v>301</v>
      </c>
    </row>
    <row r="12" spans="1:10" ht="42.75">
      <c r="A12" s="11" t="s">
        <v>284</v>
      </c>
      <c r="B12" s="11" t="s">
        <v>348</v>
      </c>
      <c r="C12" s="11" t="s">
        <v>316</v>
      </c>
      <c r="D12" s="11" t="s">
        <v>349</v>
      </c>
      <c r="E12" s="11" t="s">
        <v>318</v>
      </c>
      <c r="F12" s="11" t="s">
        <v>350</v>
      </c>
      <c r="G12" s="11" t="s">
        <v>351</v>
      </c>
      <c r="H12" s="11" t="s">
        <v>352</v>
      </c>
      <c r="I12" s="11" t="s">
        <v>244</v>
      </c>
      <c r="J12" s="12" t="s">
        <v>302</v>
      </c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1" sqref="F21"/>
    </sheetView>
  </sheetViews>
  <sheetFormatPr defaultRowHeight="14.25"/>
  <cols>
    <col min="1" max="1" width="14" customWidth="1"/>
    <col min="2" max="2" width="18" customWidth="1"/>
    <col min="3" max="3" width="26" customWidth="1"/>
    <col min="4" max="4" width="32" customWidth="1"/>
    <col min="5" max="6" width="30" customWidth="1"/>
    <col min="7" max="7" width="18" customWidth="1"/>
    <col min="8" max="8" width="28" customWidth="1"/>
    <col min="9" max="9" width="34" customWidth="1"/>
    <col min="10" max="10" width="22" customWidth="1"/>
  </cols>
  <sheetData>
    <row r="1" spans="1:10" ht="18">
      <c r="A1" s="6" t="s">
        <v>82</v>
      </c>
      <c r="B1" s="7"/>
      <c r="C1" s="7"/>
      <c r="D1" s="7"/>
      <c r="E1" s="7"/>
      <c r="F1" s="7"/>
      <c r="G1" s="7"/>
      <c r="H1" s="7"/>
      <c r="I1" s="7"/>
      <c r="J1" s="7"/>
    </row>
    <row r="2" spans="1:10" ht="42" customHeight="1">
      <c r="A2" s="8" t="s">
        <v>83</v>
      </c>
      <c r="B2" s="7"/>
      <c r="C2" s="7"/>
      <c r="D2" s="7"/>
      <c r="E2" s="7"/>
      <c r="F2" s="7"/>
      <c r="G2" s="7"/>
      <c r="H2" s="7"/>
      <c r="I2" s="7"/>
      <c r="J2" s="7"/>
    </row>
    <row r="4" spans="1:10" ht="30">
      <c r="A4" s="2" t="s">
        <v>84</v>
      </c>
      <c r="B4" s="2" t="s">
        <v>71</v>
      </c>
      <c r="C4" s="2" t="s">
        <v>73</v>
      </c>
      <c r="D4" s="2" t="s">
        <v>85</v>
      </c>
      <c r="E4" s="2" t="s">
        <v>86</v>
      </c>
      <c r="F4" s="2" t="s">
        <v>87</v>
      </c>
      <c r="G4" s="2" t="s">
        <v>52</v>
      </c>
      <c r="H4" s="2" t="s">
        <v>88</v>
      </c>
      <c r="I4" s="2" t="s">
        <v>89</v>
      </c>
      <c r="J4" s="2" t="s">
        <v>90</v>
      </c>
    </row>
    <row r="5" spans="1:10" ht="28.5">
      <c r="A5" s="18" t="s">
        <v>59</v>
      </c>
      <c r="B5" s="18" t="s">
        <v>353</v>
      </c>
      <c r="C5" s="18" t="s">
        <v>354</v>
      </c>
      <c r="D5" s="18" t="s">
        <v>355</v>
      </c>
      <c r="E5" s="18" t="s">
        <v>91</v>
      </c>
      <c r="F5" s="18" t="s">
        <v>356</v>
      </c>
      <c r="G5" s="18" t="s">
        <v>58</v>
      </c>
      <c r="H5" s="18" t="s">
        <v>357</v>
      </c>
      <c r="I5" s="18" t="s">
        <v>358</v>
      </c>
      <c r="J5" s="3"/>
    </row>
    <row r="6" spans="1:10" ht="28.5">
      <c r="A6" s="18" t="s">
        <v>359</v>
      </c>
      <c r="B6" s="18" t="s">
        <v>360</v>
      </c>
      <c r="C6" s="18" t="s">
        <v>361</v>
      </c>
      <c r="D6" s="18" t="s">
        <v>362</v>
      </c>
      <c r="E6" s="18" t="s">
        <v>363</v>
      </c>
      <c r="F6" s="18" t="s">
        <v>364</v>
      </c>
      <c r="G6" s="18" t="s">
        <v>281</v>
      </c>
      <c r="H6" s="18" t="s">
        <v>365</v>
      </c>
      <c r="I6" s="18" t="s">
        <v>366</v>
      </c>
      <c r="J6" s="3"/>
    </row>
    <row r="7" spans="1:10" ht="28.5">
      <c r="A7" s="18" t="s">
        <v>292</v>
      </c>
      <c r="B7" s="18" t="s">
        <v>367</v>
      </c>
      <c r="C7" s="18" t="s">
        <v>368</v>
      </c>
      <c r="D7" s="18" t="s">
        <v>369</v>
      </c>
      <c r="E7" s="18" t="s">
        <v>370</v>
      </c>
      <c r="F7" s="18" t="s">
        <v>371</v>
      </c>
      <c r="G7" s="18" t="s">
        <v>372</v>
      </c>
      <c r="H7" s="18" t="s">
        <v>373</v>
      </c>
      <c r="I7" s="18" t="s">
        <v>374</v>
      </c>
      <c r="J7" s="3"/>
    </row>
    <row r="8" spans="1:10" ht="28.5">
      <c r="A8" s="18" t="s">
        <v>375</v>
      </c>
      <c r="B8" s="18" t="s">
        <v>376</v>
      </c>
      <c r="C8" s="18" t="s">
        <v>377</v>
      </c>
      <c r="D8" s="18" t="s">
        <v>378</v>
      </c>
      <c r="E8" s="18" t="s">
        <v>379</v>
      </c>
      <c r="F8" s="18" t="s">
        <v>380</v>
      </c>
      <c r="G8" s="18" t="s">
        <v>280</v>
      </c>
      <c r="H8" s="18" t="s">
        <v>381</v>
      </c>
      <c r="I8" s="18" t="s">
        <v>382</v>
      </c>
      <c r="J8" s="3"/>
    </row>
    <row r="9" spans="1:10" ht="42.75">
      <c r="A9" s="18" t="s">
        <v>288</v>
      </c>
      <c r="B9" s="18" t="s">
        <v>383</v>
      </c>
      <c r="C9" s="18" t="s">
        <v>384</v>
      </c>
      <c r="D9" s="18" t="s">
        <v>385</v>
      </c>
      <c r="E9" s="18" t="s">
        <v>386</v>
      </c>
      <c r="F9" s="18" t="s">
        <v>387</v>
      </c>
      <c r="G9" s="18" t="s">
        <v>62</v>
      </c>
      <c r="H9" s="18" t="s">
        <v>388</v>
      </c>
      <c r="I9" s="18" t="s">
        <v>389</v>
      </c>
      <c r="J9" s="3"/>
    </row>
    <row r="10" spans="1:10" ht="42.75">
      <c r="A10" s="18" t="s">
        <v>291</v>
      </c>
      <c r="B10" s="18" t="s">
        <v>183</v>
      </c>
      <c r="C10" s="18" t="s">
        <v>390</v>
      </c>
      <c r="D10" s="18" t="s">
        <v>391</v>
      </c>
      <c r="E10" s="18" t="s">
        <v>392</v>
      </c>
      <c r="F10" s="18" t="s">
        <v>393</v>
      </c>
      <c r="G10" s="18" t="s">
        <v>282</v>
      </c>
      <c r="H10" s="18" t="s">
        <v>394</v>
      </c>
      <c r="I10" s="18" t="s">
        <v>395</v>
      </c>
      <c r="J10" s="3"/>
    </row>
    <row r="11" spans="1:10" ht="42.75">
      <c r="A11" s="18" t="s">
        <v>396</v>
      </c>
      <c r="B11" s="18" t="s">
        <v>397</v>
      </c>
      <c r="C11" s="18" t="s">
        <v>398</v>
      </c>
      <c r="D11" s="18" t="s">
        <v>399</v>
      </c>
      <c r="E11" s="18" t="s">
        <v>400</v>
      </c>
      <c r="F11" s="18" t="s">
        <v>401</v>
      </c>
      <c r="G11" s="18" t="s">
        <v>284</v>
      </c>
      <c r="H11" s="18" t="s">
        <v>402</v>
      </c>
      <c r="I11" s="18" t="s">
        <v>403</v>
      </c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zoomScaleNormal="100" workbookViewId="0">
      <selection activeCell="C7" sqref="C7"/>
    </sheetView>
  </sheetViews>
  <sheetFormatPr defaultRowHeight="14.25"/>
  <cols>
    <col min="1" max="1" width="12" customWidth="1"/>
    <col min="2" max="2" width="24" customWidth="1"/>
    <col min="3" max="3" width="36" customWidth="1"/>
    <col min="4" max="4" width="30" customWidth="1"/>
    <col min="5" max="5" width="38" customWidth="1"/>
    <col min="6" max="6" width="20" customWidth="1"/>
    <col min="7" max="7" width="40" customWidth="1"/>
    <col min="8" max="8" width="34" customWidth="1"/>
    <col min="9" max="9" width="26" customWidth="1"/>
  </cols>
  <sheetData>
    <row r="1" spans="1:9" ht="18">
      <c r="A1" s="6" t="s">
        <v>92</v>
      </c>
      <c r="B1" s="7"/>
      <c r="C1" s="7"/>
      <c r="D1" s="7"/>
      <c r="E1" s="7"/>
      <c r="F1" s="7"/>
      <c r="G1" s="7"/>
      <c r="H1" s="7"/>
      <c r="I1" s="7"/>
    </row>
    <row r="2" spans="1:9" ht="42" customHeight="1">
      <c r="A2" s="8" t="s">
        <v>93</v>
      </c>
      <c r="B2" s="7"/>
      <c r="C2" s="7"/>
      <c r="D2" s="7"/>
      <c r="E2" s="7"/>
      <c r="F2" s="7"/>
      <c r="G2" s="7"/>
      <c r="H2" s="7"/>
      <c r="I2" s="7"/>
    </row>
    <row r="4" spans="1:9" ht="15">
      <c r="A4" s="2" t="s">
        <v>94</v>
      </c>
      <c r="B4" s="2" t="s">
        <v>95</v>
      </c>
      <c r="C4" s="2" t="s">
        <v>96</v>
      </c>
      <c r="D4" s="2" t="s">
        <v>76</v>
      </c>
      <c r="E4" s="2" t="s">
        <v>97</v>
      </c>
      <c r="F4" s="2" t="s">
        <v>98</v>
      </c>
      <c r="G4" s="2" t="s">
        <v>24</v>
      </c>
      <c r="H4" s="2" t="s">
        <v>99</v>
      </c>
      <c r="I4" s="2" t="s">
        <v>100</v>
      </c>
    </row>
    <row r="5" spans="1:9" ht="42.75">
      <c r="A5" s="19" t="s">
        <v>101</v>
      </c>
      <c r="B5" s="19" t="s">
        <v>102</v>
      </c>
      <c r="C5" s="19" t="s">
        <v>404</v>
      </c>
      <c r="D5" s="19" t="s">
        <v>405</v>
      </c>
      <c r="E5" s="19" t="s">
        <v>406</v>
      </c>
      <c r="F5" s="19" t="s">
        <v>407</v>
      </c>
      <c r="G5" s="19" t="s">
        <v>408</v>
      </c>
      <c r="H5" s="19" t="s">
        <v>409</v>
      </c>
      <c r="I5" s="12" t="s">
        <v>410</v>
      </c>
    </row>
    <row r="6" spans="1:9" ht="42.75">
      <c r="A6" s="19" t="s">
        <v>103</v>
      </c>
      <c r="B6" s="19" t="s">
        <v>411</v>
      </c>
      <c r="C6" s="19" t="s">
        <v>412</v>
      </c>
      <c r="D6" s="19" t="s">
        <v>413</v>
      </c>
      <c r="E6" s="19" t="s">
        <v>414</v>
      </c>
      <c r="F6" s="19" t="s">
        <v>415</v>
      </c>
      <c r="G6" s="19" t="s">
        <v>416</v>
      </c>
      <c r="H6" s="19" t="s">
        <v>417</v>
      </c>
      <c r="I6" s="12" t="s">
        <v>418</v>
      </c>
    </row>
    <row r="7" spans="1:9" ht="57">
      <c r="A7" s="19" t="s">
        <v>144</v>
      </c>
      <c r="B7" s="19" t="s">
        <v>419</v>
      </c>
      <c r="C7" s="19" t="s">
        <v>420</v>
      </c>
      <c r="D7" s="19" t="s">
        <v>421</v>
      </c>
      <c r="E7" s="19" t="s">
        <v>422</v>
      </c>
      <c r="F7" s="19" t="s">
        <v>423</v>
      </c>
      <c r="G7" s="19" t="s">
        <v>424</v>
      </c>
      <c r="H7" s="19" t="s">
        <v>425</v>
      </c>
      <c r="I7" s="12" t="s">
        <v>426</v>
      </c>
    </row>
    <row r="8" spans="1:9" ht="42.75">
      <c r="A8" s="19" t="s">
        <v>427</v>
      </c>
      <c r="B8" s="19" t="s">
        <v>428</v>
      </c>
      <c r="C8" s="19" t="s">
        <v>429</v>
      </c>
      <c r="D8" s="19" t="s">
        <v>430</v>
      </c>
      <c r="E8" s="19" t="s">
        <v>431</v>
      </c>
      <c r="F8" s="19" t="s">
        <v>432</v>
      </c>
      <c r="G8" s="19" t="s">
        <v>433</v>
      </c>
      <c r="H8" s="19" t="s">
        <v>434</v>
      </c>
      <c r="I8" s="12" t="s">
        <v>435</v>
      </c>
    </row>
    <row r="9" spans="1:9" ht="42.75">
      <c r="A9" s="19" t="s">
        <v>436</v>
      </c>
      <c r="B9" s="19" t="s">
        <v>437</v>
      </c>
      <c r="C9" s="19" t="s">
        <v>438</v>
      </c>
      <c r="D9" s="19" t="s">
        <v>439</v>
      </c>
      <c r="E9" s="19" t="s">
        <v>440</v>
      </c>
      <c r="F9" s="19" t="s">
        <v>441</v>
      </c>
      <c r="G9" s="19" t="s">
        <v>442</v>
      </c>
      <c r="H9" s="19" t="s">
        <v>443</v>
      </c>
      <c r="I9" s="12" t="s">
        <v>444</v>
      </c>
    </row>
    <row r="10" spans="1:9" ht="57">
      <c r="A10" s="19" t="s">
        <v>445</v>
      </c>
      <c r="B10" s="19" t="s">
        <v>446</v>
      </c>
      <c r="C10" s="19" t="s">
        <v>447</v>
      </c>
      <c r="D10" s="19" t="s">
        <v>448</v>
      </c>
      <c r="E10" s="19" t="s">
        <v>449</v>
      </c>
      <c r="F10" s="19" t="s">
        <v>450</v>
      </c>
      <c r="G10" s="19" t="s">
        <v>451</v>
      </c>
      <c r="H10" s="19" t="s">
        <v>452</v>
      </c>
      <c r="I10" s="12" t="s">
        <v>453</v>
      </c>
    </row>
    <row r="11" spans="1:9" ht="42.75">
      <c r="A11" s="19" t="s">
        <v>454</v>
      </c>
      <c r="B11" s="19" t="s">
        <v>455</v>
      </c>
      <c r="C11" s="19" t="s">
        <v>456</v>
      </c>
      <c r="D11" s="19" t="s">
        <v>457</v>
      </c>
      <c r="E11" s="19" t="s">
        <v>458</v>
      </c>
      <c r="F11" s="19" t="s">
        <v>459</v>
      </c>
      <c r="G11" s="19" t="s">
        <v>460</v>
      </c>
      <c r="H11" s="19" t="s">
        <v>461</v>
      </c>
      <c r="I11" s="12" t="s">
        <v>462</v>
      </c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workbookViewId="0">
      <selection activeCell="E20" sqref="E20"/>
    </sheetView>
  </sheetViews>
  <sheetFormatPr defaultRowHeight="14.25"/>
  <cols>
    <col min="1" max="1" width="14" customWidth="1"/>
    <col min="2" max="2" width="22" customWidth="1"/>
    <col min="3" max="3" width="32" customWidth="1"/>
    <col min="4" max="4" width="36" customWidth="1"/>
    <col min="5" max="5" width="34" customWidth="1"/>
    <col min="6" max="6" width="26" customWidth="1"/>
    <col min="7" max="7" width="28" customWidth="1"/>
    <col min="8" max="8" width="18" customWidth="1"/>
  </cols>
  <sheetData>
    <row r="1" spans="1:8" ht="18">
      <c r="A1" s="6" t="s">
        <v>105</v>
      </c>
      <c r="B1" s="7"/>
      <c r="C1" s="7"/>
      <c r="D1" s="7"/>
      <c r="E1" s="7"/>
      <c r="F1" s="7"/>
      <c r="G1" s="7"/>
      <c r="H1" s="7"/>
    </row>
    <row r="2" spans="1:8" ht="42" customHeight="1">
      <c r="A2" s="8" t="s">
        <v>106</v>
      </c>
      <c r="B2" s="7"/>
      <c r="C2" s="7"/>
      <c r="D2" s="7"/>
      <c r="E2" s="7"/>
      <c r="F2" s="7"/>
      <c r="G2" s="7"/>
      <c r="H2" s="7"/>
    </row>
    <row r="4" spans="1:8" ht="15">
      <c r="A4" s="2" t="s">
        <v>48</v>
      </c>
      <c r="B4" s="2" t="s">
        <v>71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100</v>
      </c>
      <c r="H4" s="2" t="s">
        <v>111</v>
      </c>
    </row>
    <row r="5" spans="1:8" ht="28.5">
      <c r="A5" s="19" t="s">
        <v>112</v>
      </c>
      <c r="B5" s="19" t="s">
        <v>463</v>
      </c>
      <c r="C5" s="19" t="s">
        <v>464</v>
      </c>
      <c r="D5" s="19" t="s">
        <v>465</v>
      </c>
      <c r="E5" s="19" t="s">
        <v>466</v>
      </c>
      <c r="F5" s="19" t="s">
        <v>113</v>
      </c>
      <c r="G5" s="19" t="s">
        <v>467</v>
      </c>
      <c r="H5" s="12" t="s">
        <v>60</v>
      </c>
    </row>
    <row r="6" spans="1:8" ht="28.5">
      <c r="A6" s="19" t="s">
        <v>112</v>
      </c>
      <c r="B6" s="19" t="s">
        <v>468</v>
      </c>
      <c r="C6" s="19" t="s">
        <v>469</v>
      </c>
      <c r="D6" s="19" t="s">
        <v>470</v>
      </c>
      <c r="E6" s="19" t="s">
        <v>471</v>
      </c>
      <c r="F6" s="19" t="s">
        <v>472</v>
      </c>
      <c r="G6" s="19" t="s">
        <v>473</v>
      </c>
      <c r="H6" s="12" t="s">
        <v>297</v>
      </c>
    </row>
    <row r="7" spans="1:8" ht="28.5">
      <c r="A7" s="19" t="s">
        <v>112</v>
      </c>
      <c r="B7" s="19" t="s">
        <v>474</v>
      </c>
      <c r="C7" s="19" t="s">
        <v>475</v>
      </c>
      <c r="D7" s="19" t="s">
        <v>476</v>
      </c>
      <c r="E7" s="19" t="s">
        <v>471</v>
      </c>
      <c r="F7" s="19" t="s">
        <v>477</v>
      </c>
      <c r="G7" s="19" t="s">
        <v>478</v>
      </c>
      <c r="H7" s="12" t="s">
        <v>298</v>
      </c>
    </row>
    <row r="8" spans="1:8" ht="28.5">
      <c r="A8" s="19" t="s">
        <v>114</v>
      </c>
      <c r="B8" s="19" t="s">
        <v>479</v>
      </c>
      <c r="C8" s="19" t="s">
        <v>480</v>
      </c>
      <c r="D8" s="19" t="s">
        <v>481</v>
      </c>
      <c r="E8" s="19" t="s">
        <v>482</v>
      </c>
      <c r="F8" s="19" t="s">
        <v>115</v>
      </c>
      <c r="G8" s="19" t="s">
        <v>483</v>
      </c>
      <c r="H8" s="12" t="s">
        <v>60</v>
      </c>
    </row>
    <row r="9" spans="1:8" ht="28.5">
      <c r="A9" s="19" t="s">
        <v>114</v>
      </c>
      <c r="B9" s="19" t="s">
        <v>484</v>
      </c>
      <c r="C9" s="19" t="s">
        <v>485</v>
      </c>
      <c r="D9" s="19" t="s">
        <v>486</v>
      </c>
      <c r="E9" s="19" t="s">
        <v>487</v>
      </c>
      <c r="F9" s="19" t="s">
        <v>488</v>
      </c>
      <c r="G9" s="19" t="s">
        <v>489</v>
      </c>
      <c r="H9" s="12" t="s">
        <v>490</v>
      </c>
    </row>
    <row r="10" spans="1:8" ht="28.5">
      <c r="A10" s="19" t="s">
        <v>114</v>
      </c>
      <c r="B10" s="19" t="s">
        <v>491</v>
      </c>
      <c r="C10" s="19" t="s">
        <v>492</v>
      </c>
      <c r="D10" s="19" t="s">
        <v>493</v>
      </c>
      <c r="E10" s="19" t="s">
        <v>494</v>
      </c>
      <c r="F10" s="19" t="s">
        <v>495</v>
      </c>
      <c r="G10" s="19" t="s">
        <v>496</v>
      </c>
      <c r="H10" s="12" t="s">
        <v>297</v>
      </c>
    </row>
    <row r="11" spans="1:8" ht="28.5">
      <c r="A11" s="19" t="s">
        <v>114</v>
      </c>
      <c r="B11" s="19" t="s">
        <v>497</v>
      </c>
      <c r="C11" s="19" t="s">
        <v>498</v>
      </c>
      <c r="D11" s="19" t="s">
        <v>499</v>
      </c>
      <c r="E11" s="19" t="s">
        <v>500</v>
      </c>
      <c r="F11" s="19" t="s">
        <v>501</v>
      </c>
      <c r="G11" s="19" t="s">
        <v>502</v>
      </c>
      <c r="H11" s="12" t="s">
        <v>299</v>
      </c>
    </row>
    <row r="12" spans="1:8" ht="28.5">
      <c r="A12" s="19" t="s">
        <v>114</v>
      </c>
      <c r="B12" s="19" t="s">
        <v>503</v>
      </c>
      <c r="C12" s="19" t="s">
        <v>504</v>
      </c>
      <c r="D12" s="19" t="s">
        <v>505</v>
      </c>
      <c r="E12" s="19" t="s">
        <v>500</v>
      </c>
      <c r="F12" s="19" t="s">
        <v>506</v>
      </c>
      <c r="G12" s="19" t="s">
        <v>507</v>
      </c>
      <c r="H12" s="12" t="s">
        <v>300</v>
      </c>
    </row>
    <row r="13" spans="1:8" ht="28.5">
      <c r="A13" s="19" t="s">
        <v>117</v>
      </c>
      <c r="B13" s="19" t="s">
        <v>508</v>
      </c>
      <c r="C13" s="19" t="s">
        <v>509</v>
      </c>
      <c r="D13" s="19" t="s">
        <v>510</v>
      </c>
      <c r="E13" s="19" t="s">
        <v>511</v>
      </c>
      <c r="F13" s="19" t="s">
        <v>512</v>
      </c>
      <c r="G13" s="19" t="s">
        <v>513</v>
      </c>
      <c r="H13" s="12" t="s">
        <v>135</v>
      </c>
    </row>
    <row r="14" spans="1:8" ht="28.5">
      <c r="A14" s="19" t="s">
        <v>117</v>
      </c>
      <c r="B14" s="19" t="s">
        <v>514</v>
      </c>
      <c r="C14" s="19" t="s">
        <v>515</v>
      </c>
      <c r="D14" s="20" t="s">
        <v>516</v>
      </c>
      <c r="E14" s="19" t="s">
        <v>517</v>
      </c>
      <c r="F14" s="19" t="s">
        <v>518</v>
      </c>
      <c r="G14" s="19" t="s">
        <v>519</v>
      </c>
      <c r="H14" s="12" t="s">
        <v>303</v>
      </c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</sheetData>
  <mergeCells count="2">
    <mergeCell ref="A1:H1"/>
    <mergeCell ref="A2:H2"/>
  </mergeCells>
  <dataValidations count="1">
    <dataValidation type="list" sqref="A15:A33" xr:uid="{00000000-0002-0000-0700-000000000000}">
      <formula1>"Entitás,API,Modul,Interfész,Külső szolgáltatás"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workbookViewId="0">
      <selection activeCell="E15" sqref="E15:E16"/>
    </sheetView>
  </sheetViews>
  <sheetFormatPr defaultRowHeight="14.25"/>
  <cols>
    <col min="1" max="1" width="18" customWidth="1"/>
    <col min="2" max="2" width="44" customWidth="1"/>
    <col min="3" max="3" width="34" customWidth="1"/>
    <col min="4" max="4" width="14" customWidth="1"/>
    <col min="5" max="5" width="42" customWidth="1"/>
  </cols>
  <sheetData>
    <row r="1" spans="1:5" ht="18">
      <c r="A1" s="6" t="s">
        <v>118</v>
      </c>
      <c r="B1" s="7"/>
      <c r="C1" s="7"/>
      <c r="D1" s="7"/>
      <c r="E1" s="7"/>
    </row>
    <row r="2" spans="1:5" ht="42" customHeight="1">
      <c r="A2" s="8" t="s">
        <v>119</v>
      </c>
      <c r="B2" s="7"/>
      <c r="C2" s="7"/>
      <c r="D2" s="7"/>
      <c r="E2" s="7"/>
    </row>
    <row r="4" spans="1:5" ht="15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</row>
    <row r="5" spans="1:5" ht="42.75">
      <c r="A5" s="3" t="s">
        <v>127</v>
      </c>
      <c r="B5" s="3" t="s">
        <v>520</v>
      </c>
      <c r="C5" s="3" t="s">
        <v>539</v>
      </c>
      <c r="D5" s="3" t="s">
        <v>126</v>
      </c>
      <c r="E5" s="9" t="s">
        <v>546</v>
      </c>
    </row>
    <row r="6" spans="1:5" ht="42.75">
      <c r="A6" s="3" t="s">
        <v>104</v>
      </c>
      <c r="B6" s="3" t="s">
        <v>521</v>
      </c>
      <c r="C6" s="3" t="s">
        <v>540</v>
      </c>
      <c r="D6" s="3" t="s">
        <v>126</v>
      </c>
      <c r="E6" s="9" t="s">
        <v>522</v>
      </c>
    </row>
    <row r="7" spans="1:5" ht="42.75">
      <c r="A7" s="3" t="s">
        <v>523</v>
      </c>
      <c r="B7" s="3" t="s">
        <v>524</v>
      </c>
      <c r="C7" s="3" t="s">
        <v>541</v>
      </c>
      <c r="D7" s="3" t="s">
        <v>126</v>
      </c>
      <c r="E7" s="3" t="s">
        <v>525</v>
      </c>
    </row>
    <row r="8" spans="1:5" ht="42.75">
      <c r="A8" s="3" t="s">
        <v>526</v>
      </c>
      <c r="B8" s="3" t="s">
        <v>527</v>
      </c>
      <c r="C8" s="3" t="s">
        <v>542</v>
      </c>
      <c r="D8" s="3" t="s">
        <v>126</v>
      </c>
      <c r="E8" s="9" t="s">
        <v>528</v>
      </c>
    </row>
    <row r="9" spans="1:5" ht="42.75">
      <c r="A9" s="9" t="s">
        <v>125</v>
      </c>
      <c r="B9" s="9" t="s">
        <v>529</v>
      </c>
      <c r="C9" s="9" t="s">
        <v>543</v>
      </c>
      <c r="D9" s="3" t="s">
        <v>126</v>
      </c>
      <c r="E9" s="9" t="s">
        <v>530</v>
      </c>
    </row>
    <row r="10" spans="1:5" ht="42.75">
      <c r="A10" s="9" t="s">
        <v>531</v>
      </c>
      <c r="B10" s="9" t="s">
        <v>532</v>
      </c>
      <c r="C10" s="9" t="s">
        <v>544</v>
      </c>
      <c r="D10" s="3" t="s">
        <v>126</v>
      </c>
      <c r="E10" s="9" t="s">
        <v>533</v>
      </c>
    </row>
    <row r="11" spans="1:5" ht="42.75">
      <c r="A11" s="9" t="s">
        <v>534</v>
      </c>
      <c r="B11" s="9" t="s">
        <v>535</v>
      </c>
      <c r="C11" s="9" t="s">
        <v>545</v>
      </c>
      <c r="D11" s="3" t="s">
        <v>126</v>
      </c>
      <c r="E11" s="9" t="s">
        <v>536</v>
      </c>
    </row>
    <row r="12" spans="1:5" ht="42.75">
      <c r="A12" s="9" t="s">
        <v>114</v>
      </c>
      <c r="B12" s="9" t="s">
        <v>537</v>
      </c>
      <c r="C12" s="9" t="s">
        <v>538</v>
      </c>
      <c r="D12" s="3" t="s">
        <v>126</v>
      </c>
      <c r="E12" s="9" t="s">
        <v>547</v>
      </c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</sheetData>
  <mergeCells count="2">
    <mergeCell ref="A1:E1"/>
    <mergeCell ref="A2:E2"/>
  </mergeCells>
  <conditionalFormatting sqref="D5:D200">
    <cfRule type="expression" dxfId="15" priority="1">
      <formula>D5="javítandó"</formula>
    </cfRule>
    <cfRule type="expression" dxfId="14" priority="2">
      <formula>D5="OK"</formula>
    </cfRule>
  </conditionalFormatting>
  <dataValidations count="1">
    <dataValidation type="list" sqref="D5:D34" xr:uid="{00000000-0002-0000-0800-000000000000}">
      <formula1>"OK,javítandó,nem releváns"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tabSelected="1" zoomScaleNormal="100" workbookViewId="0">
      <selection activeCell="H17" sqref="H17"/>
    </sheetView>
  </sheetViews>
  <sheetFormatPr defaultRowHeight="14.25"/>
  <cols>
    <col min="1" max="1" width="14" customWidth="1"/>
    <col min="2" max="2" width="16" customWidth="1"/>
    <col min="3" max="4" width="28" customWidth="1"/>
    <col min="5" max="5" width="45" customWidth="1"/>
    <col min="6" max="6" width="36" customWidth="1"/>
    <col min="7" max="7" width="22" customWidth="1"/>
    <col min="8" max="8" width="14" customWidth="1"/>
    <col min="9" max="9" width="30" customWidth="1"/>
  </cols>
  <sheetData>
    <row r="1" spans="1:9" ht="18">
      <c r="A1" s="6" t="s">
        <v>128</v>
      </c>
      <c r="B1" s="7"/>
      <c r="C1" s="7"/>
      <c r="D1" s="7"/>
      <c r="E1" s="7"/>
      <c r="F1" s="7"/>
      <c r="G1" s="7"/>
      <c r="H1" s="7"/>
      <c r="I1" s="7"/>
    </row>
    <row r="2" spans="1:9" ht="42" customHeight="1">
      <c r="A2" s="8" t="s">
        <v>129</v>
      </c>
      <c r="B2" s="7"/>
      <c r="C2" s="7"/>
      <c r="D2" s="7"/>
      <c r="E2" s="7"/>
      <c r="F2" s="7"/>
      <c r="G2" s="7"/>
      <c r="H2" s="7"/>
      <c r="I2" s="7"/>
    </row>
    <row r="4" spans="1:9" ht="30">
      <c r="A4" s="2" t="s">
        <v>54</v>
      </c>
      <c r="B4" s="2" t="s">
        <v>48</v>
      </c>
      <c r="C4" s="2" t="s">
        <v>73</v>
      </c>
      <c r="D4" s="2" t="s">
        <v>74</v>
      </c>
      <c r="E4" s="2" t="s">
        <v>130</v>
      </c>
      <c r="F4" s="2" t="s">
        <v>131</v>
      </c>
      <c r="G4" s="2" t="s">
        <v>26</v>
      </c>
      <c r="H4" s="2" t="s">
        <v>123</v>
      </c>
      <c r="I4" s="2" t="s">
        <v>90</v>
      </c>
    </row>
    <row r="5" spans="1:9" ht="28.5">
      <c r="A5" s="3" t="s">
        <v>116</v>
      </c>
      <c r="B5" s="3" t="s">
        <v>56</v>
      </c>
      <c r="C5" s="3" t="s">
        <v>549</v>
      </c>
      <c r="D5" s="3" t="s">
        <v>558</v>
      </c>
      <c r="E5" s="3" t="s">
        <v>566</v>
      </c>
      <c r="F5" s="3" t="s">
        <v>577</v>
      </c>
      <c r="G5" s="3" t="s">
        <v>29</v>
      </c>
      <c r="H5" s="3" t="s">
        <v>133</v>
      </c>
      <c r="I5" s="21" t="s">
        <v>588</v>
      </c>
    </row>
    <row r="6" spans="1:9" ht="28.5">
      <c r="A6" s="3" t="s">
        <v>134</v>
      </c>
      <c r="B6" s="3" t="s">
        <v>56</v>
      </c>
      <c r="C6" s="3" t="s">
        <v>550</v>
      </c>
      <c r="D6" s="3" t="s">
        <v>559</v>
      </c>
      <c r="E6" s="3" t="s">
        <v>567</v>
      </c>
      <c r="F6" s="3" t="s">
        <v>578</v>
      </c>
      <c r="G6" s="3" t="s">
        <v>29</v>
      </c>
      <c r="H6" s="3" t="s">
        <v>133</v>
      </c>
      <c r="I6" t="s">
        <v>589</v>
      </c>
    </row>
    <row r="7" spans="1:9" ht="28.5">
      <c r="A7" s="3" t="s">
        <v>63</v>
      </c>
      <c r="B7" s="3" t="s">
        <v>56</v>
      </c>
      <c r="C7" s="3" t="s">
        <v>551</v>
      </c>
      <c r="D7" s="3" t="s">
        <v>560</v>
      </c>
      <c r="E7" s="3" t="s">
        <v>568</v>
      </c>
      <c r="F7" s="3" t="s">
        <v>579</v>
      </c>
      <c r="G7" s="3" t="s">
        <v>30</v>
      </c>
      <c r="H7" s="3" t="s">
        <v>133</v>
      </c>
      <c r="I7" s="3"/>
    </row>
    <row r="8" spans="1:9">
      <c r="A8" s="3" t="s">
        <v>296</v>
      </c>
      <c r="B8" s="3" t="s">
        <v>56</v>
      </c>
      <c r="C8" t="s">
        <v>552</v>
      </c>
      <c r="D8" t="s">
        <v>311</v>
      </c>
      <c r="E8" t="s">
        <v>569</v>
      </c>
      <c r="F8" t="s">
        <v>580</v>
      </c>
      <c r="G8" s="3" t="s">
        <v>30</v>
      </c>
      <c r="H8" s="3" t="s">
        <v>133</v>
      </c>
      <c r="I8" s="3"/>
    </row>
    <row r="9" spans="1:9">
      <c r="A9" s="3" t="s">
        <v>297</v>
      </c>
      <c r="B9" s="3" t="s">
        <v>56</v>
      </c>
      <c r="C9" t="s">
        <v>553</v>
      </c>
      <c r="D9" t="s">
        <v>561</v>
      </c>
      <c r="E9" t="s">
        <v>570</v>
      </c>
      <c r="F9" t="s">
        <v>581</v>
      </c>
      <c r="G9" s="3" t="s">
        <v>194</v>
      </c>
      <c r="H9" s="3" t="s">
        <v>133</v>
      </c>
      <c r="I9" s="3"/>
    </row>
    <row r="10" spans="1:9">
      <c r="A10" s="3" t="s">
        <v>298</v>
      </c>
      <c r="B10" s="3" t="s">
        <v>56</v>
      </c>
      <c r="C10" t="s">
        <v>554</v>
      </c>
      <c r="D10" t="s">
        <v>324</v>
      </c>
      <c r="E10" t="s">
        <v>571</v>
      </c>
      <c r="F10" t="s">
        <v>582</v>
      </c>
      <c r="G10" s="3" t="s">
        <v>195</v>
      </c>
      <c r="H10" s="3" t="s">
        <v>133</v>
      </c>
      <c r="I10" t="s">
        <v>590</v>
      </c>
    </row>
    <row r="11" spans="1:9">
      <c r="A11" s="3" t="s">
        <v>299</v>
      </c>
      <c r="B11" s="3" t="s">
        <v>548</v>
      </c>
      <c r="C11" t="s">
        <v>555</v>
      </c>
      <c r="D11" t="s">
        <v>562</v>
      </c>
      <c r="E11" t="s">
        <v>572</v>
      </c>
      <c r="F11" t="s">
        <v>583</v>
      </c>
      <c r="G11" s="3" t="s">
        <v>196</v>
      </c>
      <c r="H11" s="3" t="s">
        <v>133</v>
      </c>
      <c r="I11" s="3"/>
    </row>
    <row r="12" spans="1:9">
      <c r="A12" s="3" t="s">
        <v>300</v>
      </c>
      <c r="B12" s="3" t="s">
        <v>56</v>
      </c>
      <c r="C12" t="s">
        <v>183</v>
      </c>
      <c r="D12" t="s">
        <v>563</v>
      </c>
      <c r="E12" t="s">
        <v>573</v>
      </c>
      <c r="F12" t="s">
        <v>584</v>
      </c>
      <c r="G12" s="3" t="s">
        <v>198</v>
      </c>
      <c r="H12" s="3" t="s">
        <v>133</v>
      </c>
      <c r="I12" s="3"/>
    </row>
    <row r="13" spans="1:9">
      <c r="A13" s="3" t="s">
        <v>301</v>
      </c>
      <c r="B13" s="3" t="s">
        <v>56</v>
      </c>
      <c r="C13" t="s">
        <v>343</v>
      </c>
      <c r="D13" t="s">
        <v>564</v>
      </c>
      <c r="E13" t="s">
        <v>574</v>
      </c>
      <c r="F13" t="s">
        <v>585</v>
      </c>
      <c r="G13" s="3" t="s">
        <v>199</v>
      </c>
      <c r="H13" s="3" t="s">
        <v>133</v>
      </c>
      <c r="I13" s="3"/>
    </row>
    <row r="14" spans="1:9">
      <c r="A14" s="3" t="s">
        <v>135</v>
      </c>
      <c r="B14" s="3" t="s">
        <v>136</v>
      </c>
      <c r="C14" t="s">
        <v>556</v>
      </c>
      <c r="D14" t="s">
        <v>132</v>
      </c>
      <c r="E14" t="s">
        <v>575</v>
      </c>
      <c r="F14" t="s">
        <v>586</v>
      </c>
      <c r="G14" s="3" t="s">
        <v>64</v>
      </c>
      <c r="H14" s="3" t="s">
        <v>133</v>
      </c>
      <c r="I14" t="s">
        <v>591</v>
      </c>
    </row>
    <row r="15" spans="1:9">
      <c r="A15" s="3" t="s">
        <v>303</v>
      </c>
      <c r="B15" s="3" t="s">
        <v>56</v>
      </c>
      <c r="C15" t="s">
        <v>557</v>
      </c>
      <c r="D15" t="s">
        <v>565</v>
      </c>
      <c r="E15" t="s">
        <v>576</v>
      </c>
      <c r="F15" t="s">
        <v>587</v>
      </c>
      <c r="G15" s="3" t="s">
        <v>245</v>
      </c>
      <c r="H15" s="3" t="s">
        <v>133</v>
      </c>
      <c r="I15" t="s">
        <v>592</v>
      </c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</sheetData>
  <mergeCells count="2">
    <mergeCell ref="A1:I1"/>
    <mergeCell ref="A2:I2"/>
  </mergeCells>
  <dataValidations count="2">
    <dataValidation type="list" sqref="B5:B34" xr:uid="{00000000-0002-0000-0900-000000000000}">
      <formula1>"funkcionális,integrációs,e2e,biztonsági,teljesítmény,UX,MI"</formula1>
    </dataValidation>
    <dataValidation type="list" sqref="H5:H34" xr:uid="{00000000-0002-0000-0900-000001000000}">
      <formula1>"terv,folyamatban,sikeres,sikertelen,javítandó"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"/>
  <sheetViews>
    <sheetView workbookViewId="0">
      <selection activeCell="D25" sqref="D25"/>
    </sheetView>
  </sheetViews>
  <sheetFormatPr defaultRowHeight="14.25"/>
  <cols>
    <col min="1" max="1" width="18" customWidth="1"/>
    <col min="2" max="3" width="16" customWidth="1"/>
    <col min="4" max="4" width="18" customWidth="1"/>
    <col min="5" max="5" width="26" customWidth="1"/>
    <col min="6" max="7" width="18" customWidth="1"/>
    <col min="8" max="8" width="32" customWidth="1"/>
  </cols>
  <sheetData>
    <row r="1" spans="1:8" ht="18">
      <c r="A1" s="6" t="s">
        <v>137</v>
      </c>
      <c r="B1" s="7"/>
      <c r="C1" s="7"/>
      <c r="D1" s="7"/>
      <c r="E1" s="7"/>
      <c r="F1" s="7"/>
      <c r="G1" s="7"/>
      <c r="H1" s="7"/>
    </row>
    <row r="2" spans="1:8" ht="42" customHeight="1">
      <c r="A2" s="8" t="s">
        <v>138</v>
      </c>
      <c r="B2" s="7"/>
      <c r="C2" s="7"/>
      <c r="D2" s="7"/>
      <c r="E2" s="7"/>
      <c r="F2" s="7"/>
      <c r="G2" s="7"/>
      <c r="H2" s="7"/>
    </row>
    <row r="4" spans="1:8" ht="15">
      <c r="A4" s="2" t="s">
        <v>139</v>
      </c>
      <c r="B4" s="2" t="s">
        <v>140</v>
      </c>
      <c r="C4" s="2" t="s">
        <v>84</v>
      </c>
      <c r="D4" s="2" t="s">
        <v>141</v>
      </c>
      <c r="E4" s="2" t="s">
        <v>142</v>
      </c>
      <c r="F4" s="2" t="s">
        <v>54</v>
      </c>
      <c r="G4" s="2" t="s">
        <v>143</v>
      </c>
      <c r="H4" s="2" t="s">
        <v>90</v>
      </c>
    </row>
    <row r="5" spans="1:8" ht="28.5">
      <c r="A5" s="3" t="s">
        <v>29</v>
      </c>
      <c r="B5" s="3" t="s">
        <v>58</v>
      </c>
      <c r="C5" s="3" t="s">
        <v>59</v>
      </c>
      <c r="D5" s="3" t="s">
        <v>594</v>
      </c>
      <c r="E5" s="3" t="s">
        <v>600</v>
      </c>
      <c r="F5" s="3" t="s">
        <v>60</v>
      </c>
      <c r="G5" s="3" t="s">
        <v>145</v>
      </c>
      <c r="H5" t="s">
        <v>610</v>
      </c>
    </row>
    <row r="6" spans="1:8" ht="28.5">
      <c r="A6" s="3" t="s">
        <v>30</v>
      </c>
      <c r="B6" s="3" t="s">
        <v>66</v>
      </c>
      <c r="C6" s="3" t="s">
        <v>292</v>
      </c>
      <c r="D6" s="3" t="s">
        <v>595</v>
      </c>
      <c r="E6" s="3" t="s">
        <v>601</v>
      </c>
      <c r="F6" s="3" t="s">
        <v>296</v>
      </c>
      <c r="G6" s="3" t="s">
        <v>145</v>
      </c>
      <c r="H6" t="s">
        <v>611</v>
      </c>
    </row>
    <row r="7" spans="1:8" ht="28.5">
      <c r="A7" s="3" t="s">
        <v>194</v>
      </c>
      <c r="B7" s="3" t="s">
        <v>62</v>
      </c>
      <c r="C7" s="3" t="s">
        <v>288</v>
      </c>
      <c r="D7" s="3" t="s">
        <v>596</v>
      </c>
      <c r="E7" s="3" t="s">
        <v>602</v>
      </c>
      <c r="F7" s="3" t="s">
        <v>297</v>
      </c>
      <c r="G7" s="3" t="s">
        <v>145</v>
      </c>
      <c r="H7" s="3" t="s">
        <v>612</v>
      </c>
    </row>
    <row r="8" spans="1:8">
      <c r="A8" s="3" t="s">
        <v>195</v>
      </c>
      <c r="B8" s="3" t="s">
        <v>280</v>
      </c>
      <c r="C8" t="s">
        <v>375</v>
      </c>
      <c r="D8" t="s">
        <v>597</v>
      </c>
      <c r="E8" s="21" t="s">
        <v>603</v>
      </c>
      <c r="F8" s="3" t="s">
        <v>298</v>
      </c>
      <c r="G8" s="3" t="s">
        <v>145</v>
      </c>
      <c r="H8" t="s">
        <v>613</v>
      </c>
    </row>
    <row r="9" spans="1:8">
      <c r="A9" s="3" t="s">
        <v>196</v>
      </c>
      <c r="B9" s="3" t="s">
        <v>281</v>
      </c>
      <c r="C9" t="s">
        <v>359</v>
      </c>
      <c r="D9" t="s">
        <v>598</v>
      </c>
      <c r="E9" s="21" t="s">
        <v>604</v>
      </c>
      <c r="F9" s="3" t="s">
        <v>299</v>
      </c>
      <c r="G9" s="3" t="s">
        <v>145</v>
      </c>
      <c r="H9" t="s">
        <v>614</v>
      </c>
    </row>
    <row r="10" spans="1:8">
      <c r="A10" s="3" t="s">
        <v>198</v>
      </c>
      <c r="B10" s="3" t="s">
        <v>282</v>
      </c>
      <c r="C10" t="s">
        <v>291</v>
      </c>
      <c r="D10" t="s">
        <v>598</v>
      </c>
      <c r="E10" s="21" t="s">
        <v>605</v>
      </c>
      <c r="F10" s="3" t="s">
        <v>300</v>
      </c>
      <c r="G10" s="3" t="s">
        <v>145</v>
      </c>
      <c r="H10" t="s">
        <v>615</v>
      </c>
    </row>
    <row r="11" spans="1:8">
      <c r="A11" s="3" t="s">
        <v>199</v>
      </c>
      <c r="B11" s="3" t="s">
        <v>283</v>
      </c>
      <c r="C11" t="s">
        <v>292</v>
      </c>
      <c r="D11" t="s">
        <v>599</v>
      </c>
      <c r="E11" s="21" t="s">
        <v>606</v>
      </c>
      <c r="F11" s="3" t="s">
        <v>301</v>
      </c>
      <c r="G11" s="3" t="s">
        <v>145</v>
      </c>
      <c r="H11" t="s">
        <v>616</v>
      </c>
    </row>
    <row r="12" spans="1:8">
      <c r="A12" s="3" t="s">
        <v>244</v>
      </c>
      <c r="B12" s="3" t="s">
        <v>284</v>
      </c>
      <c r="C12" t="s">
        <v>396</v>
      </c>
      <c r="D12" t="s">
        <v>596</v>
      </c>
      <c r="E12" s="21" t="s">
        <v>607</v>
      </c>
      <c r="F12" s="3" t="s">
        <v>302</v>
      </c>
      <c r="G12" s="3" t="s">
        <v>145</v>
      </c>
      <c r="H12" t="s">
        <v>617</v>
      </c>
    </row>
    <row r="13" spans="1:8">
      <c r="A13" s="3" t="s">
        <v>64</v>
      </c>
      <c r="B13" s="3" t="s">
        <v>58</v>
      </c>
      <c r="C13" t="s">
        <v>59</v>
      </c>
      <c r="D13" t="s">
        <v>594</v>
      </c>
      <c r="E13" s="21" t="s">
        <v>608</v>
      </c>
      <c r="F13" s="3" t="s">
        <v>135</v>
      </c>
      <c r="G13" s="3" t="s">
        <v>145</v>
      </c>
      <c r="H13" t="s">
        <v>618</v>
      </c>
    </row>
    <row r="14" spans="1:8">
      <c r="A14" s="3" t="s">
        <v>245</v>
      </c>
      <c r="B14" s="3" t="s">
        <v>593</v>
      </c>
      <c r="C14" t="s">
        <v>359</v>
      </c>
      <c r="D14" t="s">
        <v>598</v>
      </c>
      <c r="E14" s="21" t="s">
        <v>609</v>
      </c>
      <c r="F14" s="3" t="s">
        <v>303</v>
      </c>
      <c r="G14" s="3" t="s">
        <v>145</v>
      </c>
      <c r="H14" t="s">
        <v>619</v>
      </c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</sheetData>
  <mergeCells count="2">
    <mergeCell ref="A1:H1"/>
    <mergeCell ref="A2:H2"/>
  </mergeCells>
  <phoneticPr fontId="8" type="noConversion"/>
  <dataValidations count="1">
    <dataValidation type="list" sqref="G5:G34" xr:uid="{00000000-0002-0000-0A00-000000000000}">
      <formula1>"lefedett,részben,hiányzik"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0"/>
  <sheetViews>
    <sheetView workbookViewId="0">
      <selection activeCell="D11" sqref="D11"/>
    </sheetView>
  </sheetViews>
  <sheetFormatPr defaultRowHeight="14.25"/>
  <cols>
    <col min="1" max="1" width="14" customWidth="1"/>
    <col min="2" max="2" width="18" customWidth="1"/>
    <col min="3" max="3" width="24" customWidth="1"/>
    <col min="4" max="4" width="40" customWidth="1"/>
    <col min="5" max="5" width="34" customWidth="1"/>
    <col min="6" max="6" width="30" customWidth="1"/>
    <col min="7" max="7" width="12" customWidth="1"/>
    <col min="8" max="8" width="34" customWidth="1"/>
    <col min="9" max="9" width="24" customWidth="1"/>
  </cols>
  <sheetData>
    <row r="1" spans="1:9" ht="18">
      <c r="A1" s="6" t="s">
        <v>146</v>
      </c>
      <c r="B1" s="7"/>
      <c r="C1" s="7"/>
      <c r="D1" s="7"/>
      <c r="E1" s="7"/>
      <c r="F1" s="7"/>
      <c r="G1" s="7"/>
      <c r="H1" s="7"/>
      <c r="I1" s="7"/>
    </row>
    <row r="2" spans="1:9" ht="42" customHeight="1">
      <c r="A2" s="8" t="s">
        <v>147</v>
      </c>
      <c r="B2" s="7"/>
      <c r="C2" s="7"/>
      <c r="D2" s="7"/>
      <c r="E2" s="7"/>
      <c r="F2" s="7"/>
      <c r="G2" s="7"/>
      <c r="H2" s="7"/>
      <c r="I2" s="7"/>
    </row>
    <row r="4" spans="1:9" ht="15">
      <c r="A4" s="2" t="s">
        <v>148</v>
      </c>
      <c r="B4" s="2" t="s">
        <v>149</v>
      </c>
      <c r="C4" s="2" t="s">
        <v>150</v>
      </c>
      <c r="D4" s="2" t="s">
        <v>151</v>
      </c>
      <c r="E4" s="2" t="s">
        <v>152</v>
      </c>
      <c r="F4" s="2" t="s">
        <v>153</v>
      </c>
      <c r="G4" s="2" t="s">
        <v>154</v>
      </c>
      <c r="H4" s="2" t="s">
        <v>155</v>
      </c>
      <c r="I4" s="2" t="s">
        <v>90</v>
      </c>
    </row>
    <row r="5" spans="1:9">
      <c r="A5" s="4"/>
      <c r="B5" s="3"/>
      <c r="C5" s="3"/>
      <c r="D5" s="3"/>
      <c r="E5" s="3"/>
      <c r="F5" s="3"/>
      <c r="G5" s="3"/>
      <c r="H5" s="3"/>
      <c r="I5" s="3"/>
    </row>
    <row r="6" spans="1:9">
      <c r="A6" s="4"/>
      <c r="B6" s="3"/>
      <c r="C6" s="3"/>
      <c r="D6" s="3"/>
      <c r="E6" s="3"/>
      <c r="F6" s="3"/>
      <c r="G6" s="3"/>
      <c r="H6" s="3"/>
      <c r="I6" s="3"/>
    </row>
    <row r="7" spans="1:9">
      <c r="A7" s="4"/>
      <c r="B7" s="3"/>
      <c r="C7" s="3"/>
      <c r="D7" s="3"/>
      <c r="E7" s="3"/>
      <c r="F7" s="3"/>
      <c r="G7" s="3"/>
      <c r="H7" s="3"/>
      <c r="I7" s="3"/>
    </row>
    <row r="8" spans="1:9">
      <c r="A8" s="4"/>
      <c r="B8" s="3"/>
      <c r="C8" s="3"/>
      <c r="D8" s="3"/>
      <c r="E8" s="3"/>
      <c r="F8" s="3"/>
      <c r="G8" s="3"/>
      <c r="H8" s="3"/>
      <c r="I8" s="3"/>
    </row>
    <row r="9" spans="1:9">
      <c r="A9" s="4"/>
      <c r="B9" s="3"/>
      <c r="C9" s="3"/>
      <c r="D9" s="3"/>
      <c r="E9" s="3"/>
      <c r="F9" s="3"/>
      <c r="G9" s="3"/>
      <c r="H9" s="3"/>
      <c r="I9" s="3"/>
    </row>
    <row r="10" spans="1:9">
      <c r="A10" s="4"/>
      <c r="B10" s="3"/>
      <c r="C10" s="3"/>
      <c r="D10" s="3"/>
      <c r="E10" s="3"/>
      <c r="F10" s="3"/>
      <c r="G10" s="3"/>
      <c r="H10" s="3"/>
      <c r="I10" s="3"/>
    </row>
    <row r="11" spans="1:9">
      <c r="A11" s="4"/>
      <c r="B11" s="3"/>
      <c r="C11" s="3"/>
      <c r="D11" s="3"/>
      <c r="E11" s="3"/>
      <c r="F11" s="3"/>
      <c r="G11" s="3"/>
      <c r="H11" s="3"/>
      <c r="I11" s="3"/>
    </row>
    <row r="12" spans="1:9">
      <c r="A12" s="4"/>
      <c r="B12" s="3"/>
      <c r="C12" s="3"/>
      <c r="D12" s="3"/>
      <c r="E12" s="3"/>
      <c r="F12" s="3"/>
      <c r="G12" s="3"/>
      <c r="H12" s="3"/>
      <c r="I12" s="3"/>
    </row>
    <row r="13" spans="1:9">
      <c r="A13" s="4"/>
      <c r="B13" s="3"/>
      <c r="C13" s="3"/>
      <c r="D13" s="3"/>
      <c r="E13" s="3"/>
      <c r="F13" s="3"/>
      <c r="G13" s="3"/>
      <c r="H13" s="3"/>
      <c r="I13" s="3"/>
    </row>
    <row r="14" spans="1:9">
      <c r="A14" s="4"/>
      <c r="B14" s="3"/>
      <c r="C14" s="3"/>
      <c r="D14" s="3"/>
      <c r="E14" s="3"/>
      <c r="F14" s="3"/>
      <c r="G14" s="3"/>
      <c r="H14" s="3"/>
      <c r="I14" s="3"/>
    </row>
    <row r="15" spans="1:9">
      <c r="A15" s="4"/>
      <c r="B15" s="3"/>
      <c r="C15" s="3"/>
      <c r="D15" s="3"/>
      <c r="E15" s="3"/>
      <c r="F15" s="3"/>
      <c r="G15" s="3"/>
      <c r="H15" s="3"/>
      <c r="I15" s="3"/>
    </row>
    <row r="16" spans="1:9">
      <c r="A16" s="4"/>
      <c r="B16" s="3"/>
      <c r="C16" s="3"/>
      <c r="D16" s="3"/>
      <c r="E16" s="3"/>
      <c r="F16" s="3"/>
      <c r="G16" s="3"/>
      <c r="H16" s="3"/>
      <c r="I16" s="3"/>
    </row>
    <row r="17" spans="1:9">
      <c r="A17" s="4"/>
      <c r="B17" s="3"/>
      <c r="C17" s="3"/>
      <c r="D17" s="3"/>
      <c r="E17" s="3"/>
      <c r="F17" s="3"/>
      <c r="G17" s="3"/>
      <c r="H17" s="3"/>
      <c r="I17" s="3"/>
    </row>
    <row r="18" spans="1:9">
      <c r="A18" s="4"/>
      <c r="B18" s="3"/>
      <c r="C18" s="3"/>
      <c r="D18" s="3"/>
      <c r="E18" s="3"/>
      <c r="F18" s="3"/>
      <c r="G18" s="3"/>
      <c r="H18" s="3"/>
      <c r="I18" s="3"/>
    </row>
    <row r="19" spans="1:9">
      <c r="A19" s="4"/>
      <c r="B19" s="3"/>
      <c r="C19" s="3"/>
      <c r="D19" s="3"/>
      <c r="E19" s="3"/>
      <c r="F19" s="3"/>
      <c r="G19" s="3"/>
      <c r="H19" s="3"/>
      <c r="I19" s="3"/>
    </row>
    <row r="20" spans="1:9">
      <c r="A20" s="4"/>
      <c r="B20" s="3"/>
      <c r="C20" s="3"/>
      <c r="D20" s="3"/>
      <c r="E20" s="3"/>
      <c r="F20" s="3"/>
      <c r="G20" s="3"/>
      <c r="H20" s="3"/>
      <c r="I20" s="3"/>
    </row>
    <row r="21" spans="1:9">
      <c r="A21" s="4"/>
      <c r="B21" s="3"/>
      <c r="C21" s="3"/>
      <c r="D21" s="3"/>
      <c r="E21" s="3"/>
      <c r="F21" s="3"/>
      <c r="G21" s="3"/>
      <c r="H21" s="3"/>
      <c r="I21" s="3"/>
    </row>
    <row r="22" spans="1:9">
      <c r="A22" s="4"/>
      <c r="B22" s="3"/>
      <c r="C22" s="3"/>
      <c r="D22" s="3"/>
      <c r="E22" s="3"/>
      <c r="F22" s="3"/>
      <c r="G22" s="3"/>
      <c r="H22" s="3"/>
      <c r="I22" s="3"/>
    </row>
    <row r="23" spans="1:9">
      <c r="A23" s="4"/>
      <c r="B23" s="3"/>
      <c r="C23" s="3"/>
      <c r="D23" s="3"/>
      <c r="E23" s="3"/>
      <c r="F23" s="3"/>
      <c r="G23" s="3"/>
      <c r="H23" s="3"/>
      <c r="I23" s="3"/>
    </row>
    <row r="24" spans="1:9">
      <c r="A24" s="4"/>
      <c r="B24" s="3"/>
      <c r="C24" s="3"/>
      <c r="D24" s="3"/>
      <c r="E24" s="3"/>
      <c r="F24" s="3"/>
      <c r="G24" s="3"/>
      <c r="H24" s="3"/>
      <c r="I24" s="3"/>
    </row>
    <row r="25" spans="1:9">
      <c r="A25" s="4"/>
      <c r="B25" s="3"/>
      <c r="C25" s="3"/>
      <c r="D25" s="3"/>
      <c r="E25" s="3"/>
      <c r="F25" s="3"/>
      <c r="G25" s="3"/>
      <c r="H25" s="3"/>
      <c r="I25" s="3"/>
    </row>
    <row r="26" spans="1:9">
      <c r="A26" s="4"/>
      <c r="B26" s="3"/>
      <c r="C26" s="3"/>
      <c r="D26" s="3"/>
      <c r="E26" s="3"/>
      <c r="F26" s="3"/>
      <c r="G26" s="3"/>
      <c r="H26" s="3"/>
      <c r="I26" s="3"/>
    </row>
    <row r="27" spans="1:9">
      <c r="A27" s="4"/>
      <c r="B27" s="3"/>
      <c r="C27" s="3"/>
      <c r="D27" s="3"/>
      <c r="E27" s="3"/>
      <c r="F27" s="3"/>
      <c r="G27" s="3"/>
      <c r="H27" s="3"/>
      <c r="I27" s="3"/>
    </row>
    <row r="28" spans="1:9">
      <c r="A28" s="4"/>
      <c r="B28" s="3"/>
      <c r="C28" s="3"/>
      <c r="D28" s="3"/>
      <c r="E28" s="3"/>
      <c r="F28" s="3"/>
      <c r="G28" s="3"/>
      <c r="H28" s="3"/>
      <c r="I28" s="3"/>
    </row>
    <row r="29" spans="1:9">
      <c r="A29" s="4"/>
      <c r="B29" s="3"/>
      <c r="C29" s="3"/>
      <c r="D29" s="3"/>
      <c r="E29" s="3"/>
      <c r="F29" s="3"/>
      <c r="G29" s="3"/>
      <c r="H29" s="3"/>
      <c r="I29" s="3"/>
    </row>
    <row r="30" spans="1:9">
      <c r="A30" s="4"/>
      <c r="B30" s="3"/>
      <c r="C30" s="3"/>
      <c r="D30" s="3"/>
      <c r="E30" s="3"/>
      <c r="F30" s="3"/>
      <c r="G30" s="3"/>
      <c r="H30" s="3"/>
      <c r="I30" s="3"/>
    </row>
    <row r="31" spans="1:9">
      <c r="A31" s="4"/>
      <c r="B31" s="3"/>
      <c r="C31" s="3"/>
      <c r="D31" s="3"/>
      <c r="E31" s="3"/>
      <c r="F31" s="3"/>
      <c r="G31" s="3"/>
      <c r="H31" s="3"/>
      <c r="I31" s="3"/>
    </row>
    <row r="32" spans="1:9">
      <c r="A32" s="4"/>
      <c r="B32" s="3"/>
      <c r="C32" s="3"/>
      <c r="D32" s="3"/>
      <c r="E32" s="3"/>
      <c r="F32" s="3"/>
      <c r="G32" s="3"/>
      <c r="H32" s="3"/>
      <c r="I32" s="3"/>
    </row>
    <row r="33" spans="1:9">
      <c r="A33" s="4"/>
      <c r="B33" s="3"/>
      <c r="C33" s="3"/>
      <c r="D33" s="3"/>
      <c r="E33" s="3"/>
      <c r="F33" s="3"/>
      <c r="G33" s="3"/>
      <c r="H33" s="3"/>
      <c r="I33" s="3"/>
    </row>
    <row r="34" spans="1:9">
      <c r="A34" s="4"/>
      <c r="B34" s="3"/>
      <c r="C34" s="3"/>
      <c r="D34" s="3"/>
      <c r="E34" s="3"/>
      <c r="F34" s="3"/>
      <c r="G34" s="3"/>
      <c r="H34" s="3"/>
      <c r="I34" s="3"/>
    </row>
    <row r="35" spans="1:9">
      <c r="A35" s="5"/>
    </row>
    <row r="36" spans="1:9">
      <c r="A36" s="5"/>
    </row>
    <row r="37" spans="1:9">
      <c r="A37" s="5"/>
    </row>
    <row r="38" spans="1:9">
      <c r="A38" s="5"/>
    </row>
    <row r="39" spans="1:9">
      <c r="A39" s="5"/>
    </row>
    <row r="40" spans="1:9">
      <c r="A40" s="5"/>
    </row>
    <row r="41" spans="1:9">
      <c r="A41" s="5"/>
    </row>
    <row r="42" spans="1:9">
      <c r="A42" s="5"/>
    </row>
    <row r="43" spans="1:9">
      <c r="A43" s="5"/>
    </row>
    <row r="44" spans="1:9">
      <c r="A44" s="5"/>
    </row>
    <row r="45" spans="1:9">
      <c r="A45" s="5"/>
    </row>
    <row r="46" spans="1:9">
      <c r="A46" s="5"/>
    </row>
    <row r="47" spans="1:9">
      <c r="A47" s="5"/>
    </row>
    <row r="48" spans="1:9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</sheetData>
  <mergeCells count="2">
    <mergeCell ref="A1:I1"/>
    <mergeCell ref="A2:I2"/>
  </mergeCells>
  <dataValidations count="1">
    <dataValidation type="list" sqref="G5:G34" xr:uid="{00000000-0002-0000-0B00-000000000000}">
      <formula1>"igen,részben,nem"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workbookViewId="0">
      <selection activeCell="D9" sqref="D9"/>
    </sheetView>
  </sheetViews>
  <sheetFormatPr defaultRowHeight="14.25"/>
  <cols>
    <col min="1" max="1" width="18" style="9" customWidth="1"/>
    <col min="2" max="2" width="44" style="9" customWidth="1"/>
    <col min="3" max="3" width="26" style="9" customWidth="1"/>
    <col min="4" max="4" width="14" style="9" customWidth="1"/>
    <col min="5" max="5" width="38" style="9" customWidth="1"/>
    <col min="6" max="16384" width="9" style="9"/>
  </cols>
  <sheetData>
    <row r="1" spans="1:5">
      <c r="A1" s="14" t="s">
        <v>156</v>
      </c>
      <c r="B1" s="15"/>
      <c r="C1" s="15"/>
      <c r="D1" s="15"/>
      <c r="E1" s="15"/>
    </row>
    <row r="2" spans="1:5" ht="42" customHeight="1">
      <c r="A2" s="8" t="s">
        <v>157</v>
      </c>
      <c r="B2" s="15"/>
      <c r="C2" s="15"/>
      <c r="D2" s="15"/>
      <c r="E2" s="15"/>
    </row>
    <row r="4" spans="1:5" ht="15">
      <c r="A4" s="2" t="s">
        <v>20</v>
      </c>
      <c r="B4" s="2" t="s">
        <v>158</v>
      </c>
      <c r="C4" s="2" t="s">
        <v>159</v>
      </c>
      <c r="D4" s="2" t="s">
        <v>55</v>
      </c>
      <c r="E4" s="2" t="s">
        <v>90</v>
      </c>
    </row>
    <row r="5" spans="1:5" ht="42.75">
      <c r="A5" s="16" t="s">
        <v>160</v>
      </c>
      <c r="B5" s="16" t="s">
        <v>161</v>
      </c>
      <c r="C5" s="16" t="s">
        <v>162</v>
      </c>
      <c r="D5" s="16" t="s">
        <v>126</v>
      </c>
      <c r="E5" s="17" t="s">
        <v>631</v>
      </c>
    </row>
    <row r="6" spans="1:5" ht="42.75">
      <c r="A6" s="16" t="s">
        <v>163</v>
      </c>
      <c r="B6" s="16" t="s">
        <v>164</v>
      </c>
      <c r="C6" s="16" t="s">
        <v>626</v>
      </c>
      <c r="D6" s="16" t="s">
        <v>126</v>
      </c>
      <c r="E6" s="17" t="s">
        <v>630</v>
      </c>
    </row>
    <row r="7" spans="1:5" ht="71.25">
      <c r="A7" s="16" t="s">
        <v>165</v>
      </c>
      <c r="B7" s="16" t="s">
        <v>166</v>
      </c>
      <c r="C7" s="16" t="s">
        <v>625</v>
      </c>
      <c r="D7" s="16" t="s">
        <v>126</v>
      </c>
      <c r="E7" s="16" t="s">
        <v>629</v>
      </c>
    </row>
    <row r="8" spans="1:5" ht="57">
      <c r="A8" s="16" t="s">
        <v>167</v>
      </c>
      <c r="B8" s="16" t="s">
        <v>620</v>
      </c>
      <c r="C8" s="16" t="s">
        <v>624</v>
      </c>
      <c r="D8" s="16" t="s">
        <v>126</v>
      </c>
      <c r="E8" s="17" t="s">
        <v>628</v>
      </c>
    </row>
    <row r="9" spans="1:5" ht="42.75">
      <c r="A9" s="16" t="s">
        <v>621</v>
      </c>
      <c r="B9" s="17" t="s">
        <v>622</v>
      </c>
      <c r="C9" s="22" t="s">
        <v>623</v>
      </c>
      <c r="D9" s="16" t="s">
        <v>126</v>
      </c>
      <c r="E9" s="17" t="s">
        <v>627</v>
      </c>
    </row>
    <row r="10" spans="1:5">
      <c r="A10" s="16"/>
      <c r="B10" s="16"/>
      <c r="C10" s="16"/>
      <c r="D10" s="16"/>
      <c r="E10" s="16"/>
    </row>
    <row r="11" spans="1:5">
      <c r="A11" s="16"/>
      <c r="B11" s="16"/>
      <c r="C11" s="16"/>
      <c r="D11" s="16"/>
      <c r="E11" s="16"/>
    </row>
    <row r="12" spans="1:5">
      <c r="A12" s="16"/>
      <c r="B12" s="16"/>
      <c r="C12" s="16"/>
      <c r="D12" s="16"/>
      <c r="E12" s="16"/>
    </row>
    <row r="13" spans="1:5">
      <c r="A13" s="16"/>
      <c r="B13" s="16"/>
      <c r="C13" s="16"/>
      <c r="D13" s="16"/>
      <c r="E13" s="16"/>
    </row>
    <row r="14" spans="1:5">
      <c r="A14" s="16"/>
      <c r="B14" s="16"/>
      <c r="C14" s="16"/>
      <c r="D14" s="16"/>
      <c r="E14" s="16"/>
    </row>
    <row r="15" spans="1:5">
      <c r="A15" s="16"/>
      <c r="B15" s="16"/>
      <c r="C15" s="16"/>
      <c r="D15" s="16"/>
      <c r="E15" s="16"/>
    </row>
    <row r="16" spans="1:5">
      <c r="A16" s="16"/>
      <c r="B16" s="16"/>
      <c r="C16" s="16"/>
      <c r="D16" s="16"/>
      <c r="E16" s="16"/>
    </row>
    <row r="17" spans="1:5">
      <c r="A17" s="16"/>
      <c r="B17" s="16"/>
      <c r="C17" s="16"/>
      <c r="D17" s="16"/>
      <c r="E17" s="16"/>
    </row>
    <row r="18" spans="1:5">
      <c r="A18" s="16"/>
      <c r="B18" s="16"/>
      <c r="C18" s="16"/>
      <c r="D18" s="16"/>
      <c r="E18" s="16"/>
    </row>
    <row r="19" spans="1:5">
      <c r="A19" s="16"/>
      <c r="B19" s="16"/>
      <c r="C19" s="16"/>
      <c r="D19" s="16"/>
      <c r="E19" s="16"/>
    </row>
    <row r="20" spans="1:5">
      <c r="A20" s="16"/>
      <c r="B20" s="16"/>
      <c r="C20" s="16"/>
      <c r="D20" s="16"/>
      <c r="E20" s="16"/>
    </row>
    <row r="21" spans="1:5">
      <c r="A21" s="16"/>
      <c r="B21" s="16"/>
      <c r="C21" s="16"/>
      <c r="D21" s="16"/>
      <c r="E21" s="16"/>
    </row>
    <row r="22" spans="1:5">
      <c r="A22" s="16"/>
      <c r="B22" s="16"/>
      <c r="C22" s="16"/>
      <c r="D22" s="16"/>
      <c r="E22" s="16"/>
    </row>
    <row r="23" spans="1:5">
      <c r="A23" s="16"/>
      <c r="B23" s="16"/>
      <c r="C23" s="16"/>
      <c r="D23" s="16"/>
      <c r="E23" s="16"/>
    </row>
    <row r="24" spans="1:5">
      <c r="A24" s="16"/>
      <c r="B24" s="16"/>
      <c r="C24" s="16"/>
      <c r="D24" s="16"/>
      <c r="E24" s="16"/>
    </row>
    <row r="25" spans="1:5">
      <c r="A25" s="16"/>
      <c r="B25" s="16"/>
      <c r="C25" s="16"/>
      <c r="D25" s="16"/>
      <c r="E25" s="16"/>
    </row>
    <row r="26" spans="1:5">
      <c r="A26" s="16"/>
      <c r="B26" s="16"/>
      <c r="C26" s="16"/>
      <c r="D26" s="16"/>
      <c r="E26" s="16"/>
    </row>
    <row r="27" spans="1:5">
      <c r="A27" s="16"/>
      <c r="B27" s="16"/>
      <c r="C27" s="16"/>
      <c r="D27" s="16"/>
      <c r="E27" s="16"/>
    </row>
    <row r="28" spans="1:5">
      <c r="A28" s="16"/>
      <c r="B28" s="16"/>
      <c r="C28" s="16"/>
      <c r="D28" s="16"/>
      <c r="E28" s="16"/>
    </row>
    <row r="29" spans="1:5">
      <c r="A29" s="16"/>
      <c r="B29" s="16"/>
      <c r="C29" s="16"/>
      <c r="D29" s="16"/>
      <c r="E29" s="16"/>
    </row>
    <row r="30" spans="1:5">
      <c r="A30" s="16"/>
      <c r="B30" s="16"/>
      <c r="C30" s="16"/>
      <c r="D30" s="16"/>
      <c r="E30" s="16"/>
    </row>
    <row r="31" spans="1:5">
      <c r="A31" s="16"/>
      <c r="B31" s="16"/>
      <c r="C31" s="16"/>
      <c r="D31" s="16"/>
      <c r="E31" s="16"/>
    </row>
    <row r="32" spans="1:5">
      <c r="A32" s="16"/>
      <c r="B32" s="16"/>
      <c r="C32" s="16"/>
      <c r="D32" s="16"/>
      <c r="E32" s="16"/>
    </row>
    <row r="33" spans="1:5">
      <c r="A33" s="16"/>
      <c r="B33" s="16"/>
      <c r="C33" s="16"/>
      <c r="D33" s="16"/>
      <c r="E33" s="16"/>
    </row>
    <row r="34" spans="1:5">
      <c r="A34" s="16"/>
      <c r="B34" s="16"/>
      <c r="C34" s="16"/>
      <c r="D34" s="16"/>
      <c r="E34" s="16"/>
    </row>
  </sheetData>
  <mergeCells count="2">
    <mergeCell ref="A1:E1"/>
    <mergeCell ref="A2:E2"/>
  </mergeCells>
  <dataValidations count="1">
    <dataValidation type="list" sqref="D5:D34" xr:uid="{00000000-0002-0000-0C00-000000000000}">
      <formula1>"OK,folyamatban,javítandó,nem releváns"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13</vt:i4>
      </vt:variant>
    </vt:vector>
  </HeadingPairs>
  <TitlesOfParts>
    <vt:vector size="13" baseType="lpstr">
      <vt:lpstr>00_Attekintes</vt:lpstr>
      <vt:lpstr>01_MVP</vt:lpstr>
      <vt:lpstr>02_Piaci_elemzes</vt:lpstr>
      <vt:lpstr>03_Kovetelmenyek</vt:lpstr>
      <vt:lpstr>04_UseCase</vt:lpstr>
      <vt:lpstr>05_UX_kepernyok</vt:lpstr>
      <vt:lpstr>06_ADR</vt:lpstr>
      <vt:lpstr>07_Adatmodell_API</vt:lpstr>
      <vt:lpstr>08_Biztonsag</vt:lpstr>
      <vt:lpstr>09_Tesztek</vt:lpstr>
      <vt:lpstr>10_Traceability</vt:lpstr>
      <vt:lpstr>11_MI_naplo</vt:lpstr>
      <vt:lpstr>12_Reprodukcio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Balázs Földes</cp:lastModifiedBy>
  <dcterms:modified xsi:type="dcterms:W3CDTF">2026-05-04T16:52:37Z</dcterms:modified>
</cp:coreProperties>
</file>